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3" activeTab="2"/>
  </bookViews>
  <sheets>
    <sheet sheetId="1" name="Monday 10.19.26" state="visible" r:id="rId4"/>
    <sheet sheetId="2" name="Tuesday 10.20.26" state="visible" r:id="rId5"/>
    <sheet sheetId="3" name="Wednesday 10.21.26" state="visible" r:id="rId6"/>
    <sheet sheetId="4" name="Thursday 10.22.26" state="visible" r:id="rId7"/>
    <sheet sheetId="5" name="Friday 10.23.26" state="visible" r:id="rId8"/>
  </sheets>
  <calcPr calcId="171027"/>
</workbook>
</file>

<file path=xl/sharedStrings.xml><?xml version="1.0" encoding="utf-8"?>
<sst xmlns="http://schemas.openxmlformats.org/spreadsheetml/2006/main" count="763" uniqueCount="165">
  <si>
    <t xml:space="preserve">Email daily to:  Rav Sandhu, Sherree Martin,  Ron Scott, Adrian Silva, Yvonne Rodriguez, Kofi Oduro, Melissa Gardynik; Scott Jones
Email report daily at 5 pm.</t>
  </si>
  <si>
    <t>GAP Daily Update - Monday 10.19.26 - Submitted to Executive Team by 5 pm</t>
  </si>
  <si>
    <t>Responsible Party</t>
  </si>
  <si>
    <t>Measurable</t>
  </si>
  <si>
    <t xml:space="preserve">Status 
G/Y/R</t>
  </si>
  <si>
    <t>Comments / Explanation</t>
  </si>
  <si>
    <t>Nicole</t>
  </si>
  <si>
    <t>EHS</t>
  </si>
  <si>
    <t>G</t>
  </si>
  <si>
    <t>Staffing Issues</t>
  </si>
  <si>
    <t xml:space="preserve">2026 Q4 DL Requirement:  16               
New Hires: 
Staff Changes:  
Total GAP Employees MINUS LOA: 
DL: 14
IDL: 8
Total Present:  
DL = 14
IDL = 8
Planned Absenteeism (Adv notice/approval):
DL:  
IDL:  
Unplanned Absenteeism 
DL:  
IDL:  
Other: 
LOA:</t>
  </si>
  <si>
    <t>Current Year Program EOP</t>
  </si>
  <si>
    <t>Michelle</t>
  </si>
  <si>
    <t>Prem. Freight / Customer Notes</t>
  </si>
  <si>
    <t>On Time Delivery</t>
  </si>
  <si>
    <r>
      <t xml:space="preserve">Customer Invty Status
</t>
    </r>
    <r>
      <rPr>
        <b/>
        <color theme="1"/>
        <family val="2"/>
        <scheme val="minor"/>
        <sz val="9"/>
        <rFont val="Calibri"/>
      </rPr>
      <t xml:space="preserve">Red = 1 day on hand
Yellow = 2 days on hand
Green = 3 days on hand</t>
    </r>
  </si>
  <si>
    <t>Customer</t>
  </si>
  <si>
    <t>Program#</t>
  </si>
  <si>
    <t># of parts supplied</t>
  </si>
  <si>
    <t>GM-SH</t>
  </si>
  <si>
    <t>C1UL</t>
  </si>
  <si>
    <t>613 -11/6 614-11/9</t>
  </si>
  <si>
    <t>GM-FZ</t>
  </si>
  <si>
    <t>BT1FG</t>
  </si>
  <si>
    <t>936-1/11, 937-1/25</t>
  </si>
  <si>
    <t>BT1UG</t>
  </si>
  <si>
    <t>059-3/1/27, 060-3/8/27</t>
  </si>
  <si>
    <t>GM-WTZVL</t>
  </si>
  <si>
    <t>GMT610- Hinge</t>
  </si>
  <si>
    <t>237-11/2 238-10/26, 282 - 10/28, 644 - 10/28</t>
  </si>
  <si>
    <t>GMT610 Roller Brkt</t>
  </si>
  <si>
    <t>340-11/5, 566-11/4, 567-11/16</t>
  </si>
  <si>
    <t>GMT610 Check</t>
  </si>
  <si>
    <t>133-10/29</t>
  </si>
  <si>
    <t>EAP</t>
  </si>
  <si>
    <t>BT1YL</t>
  </si>
  <si>
    <t>11/2</t>
  </si>
  <si>
    <t>FCA</t>
  </si>
  <si>
    <t>DT</t>
  </si>
  <si>
    <t>11-3</t>
  </si>
  <si>
    <t>WL</t>
  </si>
  <si>
    <t>Program Ended - No requirement showing</t>
  </si>
  <si>
    <t>WS</t>
  </si>
  <si>
    <t>510 - 11/3, 511 - 11/3</t>
  </si>
  <si>
    <t>LB</t>
  </si>
  <si>
    <t>431/432 have pilot requirements due 10/29</t>
  </si>
  <si>
    <t>CIE-MX</t>
  </si>
  <si>
    <t>WK/WL</t>
  </si>
  <si>
    <t>No requirements showing</t>
  </si>
  <si>
    <t>CIE-AH</t>
  </si>
  <si>
    <t>12/14</t>
  </si>
  <si>
    <t>Kongsburg</t>
  </si>
  <si>
    <t>K-T680/T880</t>
  </si>
  <si>
    <t>10/23</t>
  </si>
  <si>
    <t>Lear - KY</t>
  </si>
  <si>
    <t xml:space="preserve">Program Ended </t>
  </si>
  <si>
    <t>Lear - Orion</t>
  </si>
  <si>
    <t>T1SUV/BT1YL</t>
  </si>
  <si>
    <t>Waiting on PPAP approval. Currently showing parts due 10/26/26</t>
  </si>
  <si>
    <t>Lear - MX</t>
  </si>
  <si>
    <t>T1XX</t>
  </si>
  <si>
    <t>193-10/26, 199-10/26</t>
  </si>
  <si>
    <t>Metalsa A</t>
  </si>
  <si>
    <t>JL-PHEV</t>
  </si>
  <si>
    <t>JL-2/11</t>
  </si>
  <si>
    <t>Metalsa O</t>
  </si>
  <si>
    <t>JT</t>
  </si>
  <si>
    <t xml:space="preserve"> 027-12/21</t>
  </si>
  <si>
    <t>NYX - LIVONIA</t>
  </si>
  <si>
    <t>S650</t>
  </si>
  <si>
    <t>10/29</t>
  </si>
  <si>
    <t>Michele</t>
  </si>
  <si>
    <t>SERVICE</t>
  </si>
  <si>
    <t>GM-CCA - 13503000 on hold due to commercial issue</t>
  </si>
  <si>
    <t>Jeff Potter</t>
  </si>
  <si>
    <t>Supplier Issues</t>
  </si>
  <si>
    <t>St. Gobain, parts due today, P2097SM and P0981, shipped today. ETA 10/20/26.</t>
  </si>
  <si>
    <t>John W</t>
  </si>
  <si>
    <t>Labor / Overtime</t>
  </si>
  <si>
    <t xml:space="preserve">Direct Labor - Angie S. - Terminated
Indirect Labor   - Diego at EAP
Open GL position - Team engaged
Auto - 8 hours
Die Set - 8 hours - 
Weld area - 8 hours
W507 Hand MIG - 8 hours
CNC - 8 hours
Pack area -  hours - 
Assembly - 8 hours 
Line Die -  8 hours -</t>
  </si>
  <si>
    <t>John W.</t>
  </si>
  <si>
    <t xml:space="preserve">Daily Efficiency
85%&gt; = Green
69-84% = Yellow
69% &lt; = Red</t>
  </si>
  <si>
    <t>Work Center Group</t>
  </si>
  <si>
    <t>%</t>
  </si>
  <si>
    <t>Notes</t>
  </si>
  <si>
    <t>Downtime Analysis</t>
  </si>
  <si>
    <t>TTL Hours</t>
  </si>
  <si>
    <t>Reason Percentage</t>
  </si>
  <si>
    <t>Daily DT</t>
  </si>
  <si>
    <t xml:space="preserve">CNC - Cutter change - W515 Down 3.5 Turn table , not welding - W516 Down 4.5 hours fixture adjustments - Pin height - Feeler failing </t>
  </si>
  <si>
    <t xml:space="preserve">P116 C2234/2284 Slot failing go check </t>
  </si>
  <si>
    <t xml:space="preserve"> P115 start die change</t>
  </si>
  <si>
    <t>A500 X2 - PS205 - W515</t>
  </si>
  <si>
    <t>Operations Update - Critical Issues</t>
  </si>
  <si>
    <t>Y</t>
  </si>
  <si>
    <t xml:space="preserve">Auto area - P100 Issue with coil reel brake - Team working on repair plan - currently running                    P112 Down - Replacement motor delivered - Team needs to remove old motor and install - Requires 2 team members to complete motor swapP100     C5142/43 - FPA obtained - ready to run 
P102 -  C89155 - Going in next
P106 -  C47054/64722 - Running
P108 -  C2282 - Going in next - 11/6 run date
P109  -  Moving some jobs from P112 -  Reviewing 
P112   - C2212 - Press Down - Main Motor delivered - Old motor needs to be pulled and new motor installed 
P114  - C44897/64738 - 11/03 run date
P115  - C193AA - Going in nextP116  -   C2234/2284 - Down 45 minutes for Tooling adjustment - FPA obtained - Running
Line Die - No major concerns
PS202  - 3388-30 - Run completed
PS205  - GM610 - 84509133 - Running when operator is available 
PS209  -  6219-2-10/20 - Running
PS218  - 5126-6-10/20- Not scheduled
PS219  - 5128-7-10/20 - Not scheduled
Weld area - 
 CNC -   5816-20 - Running - 
  W05-   5128-7-30 - Run completed - In C/O
W507 -  5128-7-20 - Running
W513 -   20019-10 - Not scheduled
W514 -  Team working on retro fitting to run 3388
W515 -   3388-10 - Run completed - C/O to 3388-20
W516 - 5816-10   - Down 4.5 hours for weld fixture adjustment - Pin check failing - Running
Assembly - 
A895 - 1220-10-10 -Try-out and process review - 175 pair completed - Team to review any concerns - Reviewing presentation provided by Angel Sanchez
 A886 - 23186613  - Run completed - Running - 23186614 - Run completed
A500 -   C20001010 - Running
A838 - 22934282 - Running - A839 - 84141644 - Running    
A837- 15150237 - Running
610 E , F , G -  610F - 20814566- scheduled 10/21 - 610G 15837340- Run completed -  610 E - Run completed
A891 - run completed  A892 - 6059-10 - Run completed - 6060-10 - Not scheduled
A893 - 86518936 - Not scheduled  A894 - Run completed- A889 - A890 - Run completed
MAN - 4615-3 - Not scheduled
BPD - 282SVC - Completed</t>
  </si>
  <si>
    <t>MFG Mishit Reports</t>
  </si>
  <si>
    <t>Housekeeping</t>
  </si>
  <si>
    <t xml:space="preserve">Floor scrubber - Vacuum repaired - Currently running
Housekeeping projects - None
EOS Daily housekeeping - Completed</t>
  </si>
  <si>
    <t>Change Overs</t>
  </si>
  <si>
    <t xml:space="preserve">P115 - 193AA Start die change
Die set team members running production</t>
  </si>
  <si>
    <t>Scott</t>
  </si>
  <si>
    <t>TOOLING</t>
  </si>
  <si>
    <t xml:space="preserve">C51220-21  working on adjustments after first tryout in the press. 
2234/2284  tight feeler in center onlong area.  Raised lower restrike form .010
Scott     Scheduled 8.5 hours   Unscheduled .5 hours      
Nick      Scheduled 7.5 hours   Unscheduled .5 hours</t>
  </si>
  <si>
    <t>Diego</t>
  </si>
  <si>
    <t>Maintenance</t>
  </si>
  <si>
    <t>pm's on air compressors , dryers, waste water &amp; drums.</t>
  </si>
  <si>
    <t>Yvonne</t>
  </si>
  <si>
    <t>Quality Concerns</t>
  </si>
  <si>
    <t xml:space="preserve"> |  | No new issues. Sorted 3 boxes of six for short rivet. 28 pcs rejected so far.</t>
  </si>
  <si>
    <t>GAP Daily Update - Tuesday 10.20.26 - Submitted to Executive Team by 5 pm</t>
  </si>
  <si>
    <t xml:space="preserve">2026 Q4 DL Requirement:  16               
New Hires: 
Staff Changes:  
Total GAP Employees MINUS LOA: 
DL: 14
IDL: 8
Total Present:  
DL = 13
IDL = 8
Planned Absenteeism (Adv notice/approval):
DL:  Charlie Cracraft (PT)
IDL:  
Unplanned Absenteeism 
DL:  
IDL:  
Other: 
LOA:</t>
  </si>
  <si>
    <t>11/5</t>
  </si>
  <si>
    <t xml:space="preserve">Direct Labor - Charlie C - Off 
Indirect Labor   - Diego left for EAP at 7:10am
Open GL position - Team engaged
Auto - 8 hours
Die Set - 8 hours - 
Weld area - 8 hours
W507 Hand MIG - 8 hours
CNC - 8 hours
Pack area -  hours - 
Assembly - 8 hours 
Line Die -  8 hours -</t>
  </si>
  <si>
    <t>A837 - Fault - P116 Die lube pump issue - W516 - Down 1.25 hours - weld fixture adjustment</t>
  </si>
  <si>
    <t>P116 C2234/2284 burr on slot - pulled upper for repair -</t>
  </si>
  <si>
    <t xml:space="preserve"> P102 die set - P116 Pull and set upper die - P115 Start set up</t>
  </si>
  <si>
    <t>W515 C/o from 3388-20 to 3388-10</t>
  </si>
  <si>
    <t xml:space="preserve">Auto area - P100 Issue with coil reel brake - Team working on repair plan - currently runningP112 Down - Replacement motor delivered - Old Motor has been pulled off - Team prepping for new motor install P100     C5142/43 - FPA obtained - Scheduled for 10/22
P102 -  C89155 - FPA obtained - Ready to run 
P106 -  C47054/64722 - Running
P108 -  C2282 - Going in next - 11/6 run date
P109  -  Dispatch clear
P112  - C2212 -Press Down-Main Motor delivered-Old motor has been pulled -Team needs to install new motor
P114  - C44897/64738 - 11/03 run date
P115  - C193AA - In die setP116  -   C2234/2284 - Down 2 hours for Tooling - Upper pulled for repair - 18K run completed - C7085 Going in
Line Die - No major concerns
PS202  - 3388-30 - Running
PS205  - GM610 - 84509133 - Running when operator is available 
PS209  -  6219-2-10/20 - 4K run completed - Z05152-7 - Going in next
PS218  - 5126-6-10/20- Not scheduled
PS219  - 5128-7-10/20 - Not scheduled
Weld area - 
 CNC -   5816-20 - Running - 
W05-   5128-7-30 - Increased run size 
W507 -  5128-7-20 - Running
W513 -   20019-10 - Not scheduled
W514 -  Team working on retro fitting to run 3388
W515 -  3388-20 - Run completed - C/O to 3388-10 
W516 - 5816-10   - Down 1.25 hours for weld fixture adjustment - Pin check failing - Running
Assembly - 
A895 - 1220-10-10 -Try-out and process review - 175 pair completed - Team to review any concerns - Reviewing presentation provided by Angel Sanchez
 A886 - 23186613  - Run completed - Running - 23186614 - Run completed
A500 -   C20001010 - Running
A838 - 22934282 - Running - A839 - 84141644 - Running    
A837- 15150237 - Running
610 E , F , G -  610F - 20814566- scheduled 10/21 - 610G 15837340- Run completed -  610 E - Run completed
A891 - run completed  A892 - 6059-10 - Run completed - 6060-10 - Not scheduled
A893 - 86518936 - Not scheduled  A894 - Run completed- A889 - A890 - Run completed
MAN - 4615-3 - Not scheduled
BPD - 282SVC - Completed</t>
  </si>
  <si>
    <t xml:space="preserve">Die set team members running production
P102 Die set
P116 - Pull and set upper
P115 - In die set</t>
  </si>
  <si>
    <t xml:space="preserve">C51220-21 Working on adjustments from first tryout.  Sent Jayesh more pics this morning. Waiting to hear back so we can start reassembly
C2234/2284 burrs.  Welded upper and lower trim details. 
Scott     Scheduled 6.5 hours   Unscheduled 1.5 hours      
Nick      Scheduled 7.5 hours   Unscheduled 1.5 hours</t>
  </si>
  <si>
    <t xml:space="preserve"> |  | Contained C2284 2,493 pcs because burr in the kidney area. 
Sorting a container of 237prior to zinc plating.</t>
  </si>
  <si>
    <t>GAP Daily Update - Wednesday 10.21.26 - Submitted to Executive Team by 5 pm</t>
  </si>
  <si>
    <t>237-11/5 238-11/4, 282 - 11/4, 644 - 11/9</t>
  </si>
  <si>
    <t>133-11/5</t>
  </si>
  <si>
    <t>510 - 11/5, 511 - 11/4</t>
  </si>
  <si>
    <t>193-10/28, 199-10/28</t>
  </si>
  <si>
    <t xml:space="preserve">Direct Labor - 
Indirect Labor   - 
Open GL position - Team engaged
Auto - 8 hours
Die Set - 8 hours - 
Weld area - 8 hours
W507 Hand MIG - 8 hours
CNC - 8 hours
Pack area -  hours - 
Assembly - 8 hours 
Line Die -  8 hours -</t>
  </si>
  <si>
    <t>P112 - Scheduled repair - Main Motor install - W516 - weekly PM completed</t>
  </si>
  <si>
    <t>No Press calls</t>
  </si>
  <si>
    <t xml:space="preserve"> P115 - Die set FPA - PS209 Die change</t>
  </si>
  <si>
    <t>A500 C/O</t>
  </si>
  <si>
    <t xml:space="preserve">Auto area - P100 Issue with coil reel brake - Team working on repair plan - currently runningP112 Down - Replacement motor mounted - Diego to report out completion timeP100     C5142/43 - FPA obtained - Scheduled for 10/22
P102 -  C89155 - FPA obtained - Ready to run 
P106 -  C47054/64722 - 13.5K run completed
P108 -  C2282 - Going in next - 11/6 run date
P109  -  Dispatch clear
P112  - C2212 -Press Down-Main Motor delivered-Old motor has been pulled -Team needs to install new motor
P114  - C44897/64738 - 11/03 run date
P115  - C193AA - FPA obtained - RunningP116  -   C2234/2284 - 18K run completed - C7085 Going in next
Line Die - No major concerns
PS202  - 3388-30 - Run completed
PS205  - GM610 - 84509133 - Running 
PS209  -  Z05152-7 - FPA obtained - Running
PS218  - 5126-6-10/20- Not scheduled
PS219  - 5128-7-10/20 - Not scheduled
Weld area - 
 CNC -   5816-20 - Running - 
W05-   5128-7-30 - Running when operator is available
W507 -  5128-7-20 - Running
W513 -   20019-10 - Not scheduled - Running as needed
W514 -  Team working on retro fitting to run 3388
W515 -   3388-10 - Running
W516 - 5816-10   - Down .75 hours for weekly PM  - Running
Assembly - 
A895 - 1220-10-10 -Try-out and process review - 175 pair completed - Team to review any concerns - Reviewing presentation provided by Angel Sanchez
 A886 - 23186613  - Scheduled 10/23 - 23186614 - scheduled 10/26
A500 -   C20001010 - Running
A838 - 22934282 - Running - A839 - 84141644 - Running    
A837- 15150237 - Running
610 E , F , G -  610F - 20814566- scheduled 10/22 - 610G 15837340- Run completed -  610 E - Run completed
A891 - run completed  A892 - 6059-10 - Run completed - 6060-10 - Not scheduled
A893 - 86518936 - Not scheduled  A894 - Run completed- A889 - A890 - Run completed
MAN - 4615-3 - Not scheduled
BPD - 282SVC - Completed</t>
  </si>
  <si>
    <t>None</t>
  </si>
  <si>
    <t xml:space="preserve">Die set team members running production
P115 - Die set - FPA 
PS209 - Die change</t>
  </si>
  <si>
    <t xml:space="preserve">C51220-21 is complete.  Reassembled and ready for tryout
C199AA-11 was brought in for a pm
Scott     Scheduled 9 hours   Unscheduled 0 hours      
Nick      Scheduled 8 hours   Unscheduled 0 hours</t>
  </si>
  <si>
    <t>pm's on hilo's &amp; welders.</t>
  </si>
  <si>
    <t xml:space="preserve"> |  | Contained C2284 2,493 pcs because burr in the kidney area. 
Sorted parts today. Scrapped 656pcs..
Kongsberg rejected 111 pcs because of the tube being to long. We are having 2 pcs returned for verification. PN 1000265816.</t>
  </si>
  <si>
    <t>GAP Daily Update - Thursday 10.22.26 - Submitted to Executive Team by 5 pm</t>
  </si>
  <si>
    <t xml:space="preserve">2026 Q4 DL Requirement:  16               
New Hires: 
Staff Changes:  
Total GAP Employees MINUS LOA: 
DL: 14
IDL: 8
Total Present:  
DL = 13
IDL = 7
Planned Absenteeism (Adv notice/approval):
DL:  Charlie Cracraft - PT
IDL:  Leroy Mikolowski
Unplanned Absenteeism 
DL:  
IDL:  
Other: 
LOA:</t>
  </si>
  <si>
    <t>510 - 11/5, 511 - 11/5</t>
  </si>
  <si>
    <t>Waiting on PPAP approval. Per Orion requirements will be moved out until 11/23/26</t>
  </si>
  <si>
    <t>Ready Rivet (P5801) to ship parts middle of next week, we have current coverage through week of 12/14.</t>
  </si>
  <si>
    <t xml:space="preserve">Direct Labor - Charlie C. - Off-School
Indirect Labor   - LeRoy M - vacation day
Open GL position - Team engaged
Auto - 8 hours
Die Set - 8 hours - 
Weld area - 8 hours
W507 Hand MIG - 8 hours
CNC - 8 hours
Pack area -  hours - 
Assembly - 8 hours 
Line Die -  8 hours -</t>
  </si>
  <si>
    <t>P115 down .75 hours - press not cycling - W515 Down 2.4 hours - hold down cylinder bent - W516 pin off location - weld fixture adjustments 1.5 hours</t>
  </si>
  <si>
    <t>W115 Burrs on holes</t>
  </si>
  <si>
    <t xml:space="preserve"> P112 - Set upper - FPA</t>
  </si>
  <si>
    <t>610E - C/O - W515 C/O</t>
  </si>
  <si>
    <t xml:space="preserve">Auto area - P100 Issue with coil reel brake - Team working on repair plan - currently runningP112 Down - Replacement motor mounted - Diego to report out completion timeP100     C5142/43 - FPA obtained - Scheduled for 10/23
P102 -  C89155 - FPA obtained - Ready to run 
P106 - C5122-21 - Going in next for try-out
P108 -  C2282 - Going in next - 11/6 run date
P109  -  Dispatch clear
P112  - C2212 -Press Down - Released at EOS - Ready to try-out and monitor 
P114  - C44897/64738 - 11/03 run date
P115  - C193AA - Down 1 hour for Maintenance - Down 1 hour for Tooling - RunningP116  - C7085 Going in next
Line Die - No major concerns
PS202  - 3388-30 - Run completed
PS205  - GM610 - 84509133 - Run completed
PS209  -  Z05152-7 - Running
PS218  - 5126-6-10/20- Not scheduled
PS219  - 5128-7-10/20 - Not scheduled
Weld area - 
 CNC -   5816-20 - Running - 
W05-   5128-7-30 - Running when operator is available
W507 -  5128-7-20 - Running
W513 -   20019-10 - Not scheduled - Running as needed
W514 -  Team working on retro fitting to run 3388
W515 -   3388-10  Down 2.5 hours hold down cylinder bent - Repair completed - Running
W516 - 5816-10 - Down 1.5 hours - Pin off location - weld fixture adjustments 
Assembly - 
A895 - 1220-10-10 -Try-out and process review - 175 pair completed - Team to review any concerns - Reviewing presentation provided by Angel Sanchez
 A886 - 23186613  - Scheduled 10/23 - 23186614 - scheduled 10/26
A500 -   C20001010 - Running
A838 - 22934282 - Running - A839 - 84141644 - Running    
A837- 15150237 - Running
610 E , F , G -  610F - 20814566- Running - 610G 15837340- Run completed -  610 E - Run completed
A891 - run completed  A892 - 6059-10 - Run completed - 6060-10 - Not scheduled
A893 - 86518936 - Not scheduled  A894 - Run completed- A889 - A890 - Run completed
MAN - 4615-3 - Not scheduled
BPD - 282SVC - Scheduled 10/23</t>
  </si>
  <si>
    <t xml:space="preserve">Die set team members running production
P112 - Set upper die 
P106 - Pulled die</t>
  </si>
  <si>
    <t xml:space="preserve">C51220-21 is complete.  Reassembled and ready for tryout
C199AA-11 continuing on pm.  Weld and grind chipped details. Sharpening where needed
C193AA-11 had burrs on holes.  Replaced punches and buttons
Scott     Scheduled 8 hours   Unscheduled 1 hours      
Nick      Scheduled 7 hours   Unscheduled 1 hours</t>
  </si>
  <si>
    <t>pm's on single hit presses. &amp; auto presses</t>
  </si>
  <si>
    <t xml:space="preserve"> |  | Punch broke at PA115. 11pcs scrapped. 
Worked on NYX PPAP documents.</t>
  </si>
  <si>
    <t>GAP Daily Update - Friday 10.23.26 - Submitted to Executive Team by 5 pm</t>
  </si>
  <si>
    <t>10/30</t>
  </si>
  <si>
    <t xml:space="preserve">Direct Labor - Charlie C. - called off sick - Dalila - EO 12:00 sick
Indirect Labor   - LeRoy M - vacation day
Open GL position - Team engaged
Auto - 8 hours
Die Set - 8 hours - 
Weld area - 8 hours
W507 Hand MIG - 8 hours
CNC - 8 hours
Pack area -  hours - 
Assembly - 8 hours 
Line Die -  8 hours -</t>
  </si>
  <si>
    <t>A610F Down 45 minutes - W516 Down 3 hours - weld fixture adjustments</t>
  </si>
  <si>
    <t>W115  Down 1 hour - Broken punch</t>
  </si>
  <si>
    <t xml:space="preserve"> P106 die set / try-out</t>
  </si>
  <si>
    <t>A838 - W515</t>
  </si>
  <si>
    <t xml:space="preserve">Auto area - P100 Issue with coil reel brake - Team working on repair plan - currently runningP112  - Released to production P100     C5142/43 - FPA obtained - Scheduled for 10/23
P102 -  C89155 - FPA obtained - Ready to run 
P106 - C5122-21 - Tooling team adjusting for FPA
P108 -  C2282 - Going in next - 11/6 run date
P109  -  Dispatch clear
P112  - C2212 -Press Down - Released at EOS - Ready to try-out and monitor 
P114  - C44897/64738 - 11/03 run date
P115  - C193AA -  Down 1 hour for Tooling - Down - Broken punch at EOS - Team engagedP116  - C7085 Going in next
Line Die - No major concerns
PS202  - 3388-30 - Running
PS205  - GM610 - 84509133 - Run completed
PS209  -  Z05152-7 - Running
PS218  - 5126-6-10/20- Not scheduled
PS219  - 5128-7-10/20 - Not scheduled
Weld area - 
 CNC -   5816-20 - Running - 
W05-   5128-7-30 - Running when operator is available
W507 -  5128-7-20 - Running
W513 -   20019-10 - Not scheduled - Running as needed
W514 -  Team working on retro fitting to run 3388
W515 -   3388-10 -  Running
W516 - 5816-10 - Down 3 hours - Pin off location - weld fixture adjustments 
Assembly - 
A895 - 1220-10-10 -Try-out and process review - 175 pair completed - Team to review any concerns - Reviewing presentation provided by Angel Sanchez
 A886 - 23186613  - Scheduled 10/26 - 23186614 - scheduled 10/27
A500 -   C20001010 - Not scheduled 
A838 - 22934282 - Running - A839 - 84141644 - no operator 
A837- 15150237 - Running
610 E , F , G -  610F - 20814566- Running - 610G 15837340- Run completed -  610 E - Run completed
A891 - run completed  A892 - 6059-10 - Run completed - 6060-10 - Not scheduled
A893 - 86518936 - Not scheduled  A894 - Run completed- A889 - A890 - Run completed
MAN - 4615-3 - Not scheduled
BPD - 282SVC - Scheduled 10/26</t>
  </si>
  <si>
    <t xml:space="preserve">Die set team members running production
P106 - C51220 Die change - Try-out</t>
  </si>
  <si>
    <t xml:space="preserve">C199AA-11 pm is complete
C193AA-11 burrs on holes.  Replaced punches and buttons.  Broke punch at end of shift
C2235-36  brought in for a full pm
C51220-21 die was set up for tryout.  Part looks better than last tryout.  Working on a couple strains and holes that dont pin. Will continue monday adjusting in press
Scott     Scheduled 7 hours   Unscheduled 2 hours      
Nick      Scheduled 6 hours   Unscheduled 2 hours</t>
  </si>
  <si>
    <t>pm's on automation machines.</t>
  </si>
  <si>
    <t xml:space="preserve"> |  | Worked on NYX documents for PPAP.  
PA115 | C193AA  | The punch broke again. End of shift. 5 pcs rejected.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</si>
</sst>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19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4"/>
      <name val="Calibri"/>
    </font>
    <font>
      <b/>
      <color rgb="FFFFFFFF"/>
      <family val="2"/>
      <scheme val="minor"/>
      <sz val="14"/>
      <name val="Calibri"/>
    </font>
    <font>
      <color rgb="FF000000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FFFF"/>
      <sz val="11"/>
      <name val="Calibri"/>
    </font>
    <font>
      <color rgb="FF000000"/>
      <family val="2"/>
      <scheme val="minor"/>
      <sz val="8"/>
      <name val="Calibri"/>
    </font>
    <font>
      <color rgb="FF000000"/>
      <family val="2"/>
      <scheme val="minor"/>
      <sz val="11"/>
      <name val="Calibri"/>
    </font>
    <font>
      <color rgb="FF000000"/>
      <family val="2"/>
      <scheme val="minor"/>
      <sz val="9"/>
      <name val="Calibri"/>
    </font>
    <font>
      <color rgb="FF000000"/>
      <scheme val="minor"/>
      <sz val="11"/>
      <name val="Calibri"/>
    </font>
    <font>
      <b/>
      <color rgb="FFFFFFFF"/>
      <family val="2"/>
      <scheme val="minor"/>
      <sz val="11"/>
      <name val="Calibri"/>
    </font>
    <font>
      <b/>
      <color rgb="FFFF0000"/>
      <sz val="11"/>
      <name val="Calibri"/>
    </font>
    <font>
      <color theme="1"/>
      <family val="2"/>
      <scheme val="minor"/>
      <sz val="10"/>
      <name val="Calibri"/>
    </font>
    <font>
      <b/>
      <color rgb="FF000000"/>
      <sz val="11"/>
      <name val="Calibri"/>
    </font>
    <font>
      <b/>
      <color rgb="FF000000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8A3E"/>
      </patternFill>
    </fill>
    <fill>
      <patternFill patternType="solid">
        <fgColor rgb="FF008A3E"/>
        <bgColor rgb="FF000000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 style="thick">
        <color indexed="64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2" fontId="0" fillId="0" borderId="0" xfId="0" applyNumberFormat="1"/>
    <xf numFmtId="0" fontId="1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center" wrapText="1" indent="1"/>
    </xf>
    <xf numFmtId="0" fontId="10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center" wrapText="1" indent="1"/>
    </xf>
    <xf numFmtId="0" fontId="10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top" wrapText="1"/>
    </xf>
    <xf numFmtId="14" fontId="0" fillId="0" borderId="7" xfId="0" applyNumberForma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 inden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9" fillId="2" borderId="14" xfId="0" applyFont="1" applyFill="1" applyBorder="1" applyAlignment="1">
      <alignment horizontal="center" vertical="center" wrapText="1" indent="1"/>
    </xf>
    <xf numFmtId="0" fontId="10" fillId="0" borderId="14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1" fillId="0" borderId="18" xfId="0" applyFont="1" applyBorder="1" applyAlignment="1">
      <alignment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top" wrapText="1"/>
    </xf>
    <xf numFmtId="9" fontId="0" fillId="0" borderId="14" xfId="0" applyNumberFormat="1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1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19" xfId="0" applyNumberFormat="1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1" fillId="0" borderId="29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10" fontId="0" fillId="0" borderId="8" xfId="0" applyNumberFormat="1" applyBorder="1" applyAlignment="1">
      <alignment vertical="top" wrapText="1"/>
    </xf>
    <xf numFmtId="0" fontId="16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vertical="top" wrapText="1"/>
    </xf>
    <xf numFmtId="0" fontId="16" fillId="0" borderId="31" xfId="0" applyFont="1" applyBorder="1" applyAlignment="1">
      <alignment horizontal="center" vertical="top" wrapText="1"/>
    </xf>
    <xf numFmtId="0" fontId="1" fillId="0" borderId="34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horizontal="center" vertical="top" wrapText="1"/>
    </xf>
    <xf numFmtId="0" fontId="0" fillId="4" borderId="14" xfId="0" applyFill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14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12</v>
      </c>
      <c r="B29" s="7" t="s">
        <v>13</v>
      </c>
      <c r="C29" s="7"/>
      <c r="D29" s="9" t="s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12</v>
      </c>
      <c r="B32" s="7" t="s">
        <v>14</v>
      </c>
      <c r="C32" s="7"/>
      <c r="D32" s="9" t="s">
        <v>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12</v>
      </c>
      <c r="B35" s="7" t="s">
        <v>15</v>
      </c>
      <c r="C35" s="7"/>
      <c r="D35" s="18"/>
      <c r="E35" s="19" t="s">
        <v>16</v>
      </c>
      <c r="F35" s="19" t="s">
        <v>17</v>
      </c>
      <c r="G35" s="20" t="s">
        <v>18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19</v>
      </c>
      <c r="F37" s="24" t="s">
        <v>20</v>
      </c>
      <c r="G37" s="25">
        <v>2</v>
      </c>
      <c r="H37" s="26" t="s">
        <v>21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22</v>
      </c>
      <c r="F38" s="29" t="s">
        <v>23</v>
      </c>
      <c r="G38" s="25">
        <v>2</v>
      </c>
      <c r="H38" s="26" t="s">
        <v>24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25</v>
      </c>
      <c r="G39" s="25">
        <v>4</v>
      </c>
      <c r="H39" s="26" t="s">
        <v>26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27</v>
      </c>
      <c r="F40" s="31" t="s">
        <v>28</v>
      </c>
      <c r="G40" s="25">
        <v>4</v>
      </c>
      <c r="H40" s="32" t="s">
        <v>29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3</v>
      </c>
      <c r="H41" s="26" t="s">
        <v>31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33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4</v>
      </c>
      <c r="H43" s="26" t="s">
        <v>36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39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40</v>
      </c>
      <c r="G45" s="24">
        <v>2</v>
      </c>
      <c r="H45" s="26" t="s">
        <v>41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27" t="s">
        <v>8</v>
      </c>
      <c r="E46" s="23"/>
      <c r="F46" s="24" t="s">
        <v>42</v>
      </c>
      <c r="G46" s="24">
        <v>2</v>
      </c>
      <c r="H46" s="26" t="s">
        <v>43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 t="s">
        <v>37</v>
      </c>
      <c r="F47" s="24" t="s">
        <v>44</v>
      </c>
      <c r="G47" s="24">
        <v>2</v>
      </c>
      <c r="H47" s="26" t="s">
        <v>45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46</v>
      </c>
      <c r="F48" s="24" t="s">
        <v>47</v>
      </c>
      <c r="G48" s="24">
        <v>1</v>
      </c>
      <c r="H48" s="26" t="s">
        <v>48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49</v>
      </c>
      <c r="F49" s="37" t="s">
        <v>42</v>
      </c>
      <c r="G49" s="24">
        <v>1</v>
      </c>
      <c r="H49" s="26" t="s">
        <v>50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51</v>
      </c>
      <c r="F50" s="24" t="s">
        <v>52</v>
      </c>
      <c r="G50" s="24">
        <v>1</v>
      </c>
      <c r="H50" s="26" t="s">
        <v>53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42</v>
      </c>
      <c r="G51" s="24">
        <v>1</v>
      </c>
      <c r="H51" s="26" t="s">
        <v>55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 t="s">
        <v>56</v>
      </c>
      <c r="F52" s="24" t="s">
        <v>57</v>
      </c>
      <c r="G52" s="24">
        <v>1</v>
      </c>
      <c r="H52" s="38" t="s">
        <v>58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59</v>
      </c>
      <c r="F53" s="24" t="s">
        <v>60</v>
      </c>
      <c r="G53" s="24">
        <v>2</v>
      </c>
      <c r="H53" s="26" t="s">
        <v>61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62</v>
      </c>
      <c r="F54" s="24" t="s">
        <v>63</v>
      </c>
      <c r="G54" s="24">
        <v>3</v>
      </c>
      <c r="H54" s="40" t="s">
        <v>64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65</v>
      </c>
      <c r="F55" s="24" t="s">
        <v>66</v>
      </c>
      <c r="G55" s="24">
        <v>2</v>
      </c>
      <c r="H55" s="40" t="s">
        <v>67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27" t="s">
        <v>8</v>
      </c>
      <c r="E56" s="39" t="s">
        <v>68</v>
      </c>
      <c r="F56" s="24" t="s">
        <v>69</v>
      </c>
      <c r="G56" s="24">
        <v>2</v>
      </c>
      <c r="H56" s="26" t="s">
        <v>70</v>
      </c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71</v>
      </c>
      <c r="B57" s="13" t="s">
        <v>72</v>
      </c>
      <c r="C57" s="13"/>
      <c r="D57" s="42" t="s">
        <v>8</v>
      </c>
      <c r="E57" s="43" t="s">
        <v>73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74</v>
      </c>
      <c r="B60" s="7" t="s">
        <v>75</v>
      </c>
      <c r="C60" s="7"/>
      <c r="D60" s="45" t="s">
        <v>8</v>
      </c>
      <c r="E60" s="46" t="s">
        <v>76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77</v>
      </c>
      <c r="B63" s="7" t="s">
        <v>78</v>
      </c>
      <c r="C63" s="7"/>
      <c r="D63" s="45" t="s">
        <v>8</v>
      </c>
      <c r="E63" s="48" t="s">
        <v>79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80</v>
      </c>
      <c r="B71" s="50" t="s">
        <v>81</v>
      </c>
      <c r="C71" s="50"/>
      <c r="D71" s="51"/>
      <c r="E71" s="52" t="s">
        <v>82</v>
      </c>
      <c r="F71" s="53" t="s">
        <v>83</v>
      </c>
      <c r="G71" s="54" t="s">
        <v>84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0.95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0.99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0.95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0.7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77</v>
      </c>
      <c r="B77" s="67" t="s">
        <v>85</v>
      </c>
      <c r="C77" s="67"/>
      <c r="D77" s="68"/>
      <c r="E77" s="69"/>
      <c r="F77" s="70" t="s">
        <v>86</v>
      </c>
      <c r="G77" s="71" t="s">
        <v>87</v>
      </c>
      <c r="H77" s="72" t="s">
        <v>84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88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89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90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91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92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/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77</v>
      </c>
      <c r="B84" s="7" t="s">
        <v>93</v>
      </c>
      <c r="C84" s="7"/>
      <c r="D84" s="87" t="s">
        <v>94</v>
      </c>
      <c r="E84" s="88" t="s">
        <v>95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77</v>
      </c>
      <c r="B102" s="7" t="s">
        <v>96</v>
      </c>
      <c r="C102" s="7"/>
      <c r="D102" s="45" t="s">
        <v>8</v>
      </c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77</v>
      </c>
      <c r="B105" s="7" t="s">
        <v>97</v>
      </c>
      <c r="C105" s="7"/>
      <c r="D105" s="90" t="s">
        <v>94</v>
      </c>
      <c r="E105" s="91" t="s">
        <v>98</v>
      </c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ht="22.7" customHeight="1" spans="1:16" x14ac:dyDescent="0.25">
      <c r="A106" s="8"/>
      <c r="B106" s="7"/>
      <c r="C106" s="7"/>
      <c r="D106" s="47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ht="22.7" customHeight="1" spans="1:16" x14ac:dyDescent="0.25">
      <c r="A107" s="8"/>
      <c r="B107" s="7"/>
      <c r="C107" s="7"/>
      <c r="D107" s="47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ht="22.7" customHeight="1" spans="1:16" x14ac:dyDescent="0.25">
      <c r="A108" s="8" t="s">
        <v>77</v>
      </c>
      <c r="B108" s="7" t="s">
        <v>99</v>
      </c>
      <c r="C108" s="7"/>
      <c r="D108" s="45" t="s">
        <v>8</v>
      </c>
      <c r="E108" s="46" t="s">
        <v>100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101</v>
      </c>
      <c r="B113" s="7" t="s">
        <v>102</v>
      </c>
      <c r="C113" s="7"/>
      <c r="D113" s="45" t="s">
        <v>8</v>
      </c>
      <c r="E113" s="46" t="s">
        <v>103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104</v>
      </c>
      <c r="B121" s="7" t="s">
        <v>105</v>
      </c>
      <c r="C121" s="7"/>
      <c r="D121" s="45" t="s">
        <v>8</v>
      </c>
      <c r="E121" s="46" t="s">
        <v>106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107</v>
      </c>
      <c r="B125" s="7" t="s">
        <v>108</v>
      </c>
      <c r="C125" s="7"/>
      <c r="D125" s="47"/>
      <c r="E125" s="46" t="s">
        <v>109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0" priority="11">
      <formula>NOT(ISERROR(SEARCH("r",D8)))</formula>
    </cfRule>
    <cfRule type="containsText" dxfId="1" priority="12">
      <formula>NOT(ISERROR(SEARCH("y",D8)))</formula>
    </cfRule>
    <cfRule type="containsText" dxfId="2" priority="13">
      <formula>NOT(ISERROR(SEARCH("g",D8)))</formula>
    </cfRule>
  </conditionalFormatting>
  <conditionalFormatting sqref="D59:D78">
    <cfRule type="containsText" dxfId="3" priority="1">
      <formula>NOT(ISERROR(SEARCH("r",D59)))</formula>
    </cfRule>
    <cfRule type="containsText" dxfId="4" priority="2">
      <formula>NOT(ISERROR(SEARCH("y",D59)))</formula>
    </cfRule>
    <cfRule type="containsText" dxfId="5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110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12</v>
      </c>
      <c r="B29" s="7" t="s">
        <v>13</v>
      </c>
      <c r="C29" s="7"/>
      <c r="D29" s="9" t="s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12</v>
      </c>
      <c r="B32" s="7" t="s">
        <v>14</v>
      </c>
      <c r="C32" s="7"/>
      <c r="D32" s="9" t="s">
        <v>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12</v>
      </c>
      <c r="B35" s="7" t="s">
        <v>15</v>
      </c>
      <c r="C35" s="7"/>
      <c r="D35" s="18"/>
      <c r="E35" s="19" t="s">
        <v>16</v>
      </c>
      <c r="F35" s="19" t="s">
        <v>17</v>
      </c>
      <c r="G35" s="20" t="s">
        <v>18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19</v>
      </c>
      <c r="F37" s="24" t="s">
        <v>20</v>
      </c>
      <c r="G37" s="25">
        <v>2</v>
      </c>
      <c r="H37" s="26" t="s">
        <v>21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22</v>
      </c>
      <c r="F38" s="29" t="s">
        <v>23</v>
      </c>
      <c r="G38" s="25">
        <v>2</v>
      </c>
      <c r="H38" s="26" t="s">
        <v>24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25</v>
      </c>
      <c r="G39" s="25">
        <v>4</v>
      </c>
      <c r="H39" s="26" t="s">
        <v>26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27</v>
      </c>
      <c r="F40" s="31" t="s">
        <v>28</v>
      </c>
      <c r="G40" s="25">
        <v>4</v>
      </c>
      <c r="H40" s="32" t="s">
        <v>29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3</v>
      </c>
      <c r="H41" s="26" t="s">
        <v>31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33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4</v>
      </c>
      <c r="H43" s="26" t="s">
        <v>36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39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40</v>
      </c>
      <c r="G45" s="24">
        <v>2</v>
      </c>
      <c r="H45" s="26" t="s">
        <v>41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27" t="s">
        <v>8</v>
      </c>
      <c r="E46" s="23"/>
      <c r="F46" s="24" t="s">
        <v>42</v>
      </c>
      <c r="G46" s="24">
        <v>2</v>
      </c>
      <c r="H46" s="26" t="s">
        <v>43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 t="s">
        <v>37</v>
      </c>
      <c r="F47" s="24" t="s">
        <v>44</v>
      </c>
      <c r="G47" s="24">
        <v>2</v>
      </c>
      <c r="H47" s="26" t="s">
        <v>45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46</v>
      </c>
      <c r="F48" s="24" t="s">
        <v>47</v>
      </c>
      <c r="G48" s="24">
        <v>1</v>
      </c>
      <c r="H48" s="26" t="s">
        <v>48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49</v>
      </c>
      <c r="F49" s="37" t="s">
        <v>42</v>
      </c>
      <c r="G49" s="24">
        <v>1</v>
      </c>
      <c r="H49" s="26" t="s">
        <v>50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51</v>
      </c>
      <c r="F50" s="24" t="s">
        <v>52</v>
      </c>
      <c r="G50" s="24">
        <v>1</v>
      </c>
      <c r="H50" s="26" t="s">
        <v>53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42</v>
      </c>
      <c r="G51" s="24">
        <v>1</v>
      </c>
      <c r="H51" s="26" t="s">
        <v>55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 t="s">
        <v>56</v>
      </c>
      <c r="F52" s="24" t="s">
        <v>57</v>
      </c>
      <c r="G52" s="24">
        <v>1</v>
      </c>
      <c r="H52" s="38" t="s">
        <v>58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59</v>
      </c>
      <c r="F53" s="24" t="s">
        <v>60</v>
      </c>
      <c r="G53" s="24">
        <v>2</v>
      </c>
      <c r="H53" s="26" t="s">
        <v>61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62</v>
      </c>
      <c r="F54" s="24" t="s">
        <v>63</v>
      </c>
      <c r="G54" s="24">
        <v>3</v>
      </c>
      <c r="H54" s="40" t="s">
        <v>64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65</v>
      </c>
      <c r="F55" s="24" t="s">
        <v>66</v>
      </c>
      <c r="G55" s="24">
        <v>2</v>
      </c>
      <c r="H55" s="40" t="s">
        <v>67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27" t="s">
        <v>8</v>
      </c>
      <c r="E56" s="39" t="s">
        <v>68</v>
      </c>
      <c r="F56" s="24" t="s">
        <v>69</v>
      </c>
      <c r="G56" s="24">
        <v>2</v>
      </c>
      <c r="H56" s="26" t="s">
        <v>112</v>
      </c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71</v>
      </c>
      <c r="B57" s="13" t="s">
        <v>72</v>
      </c>
      <c r="C57" s="13"/>
      <c r="D57" s="42" t="s">
        <v>8</v>
      </c>
      <c r="E57" s="43" t="s">
        <v>73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74</v>
      </c>
      <c r="B60" s="7" t="s">
        <v>75</v>
      </c>
      <c r="C60" s="7"/>
      <c r="D60" s="45" t="s">
        <v>8</v>
      </c>
      <c r="E60" s="46" t="s">
        <v>76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77</v>
      </c>
      <c r="B63" s="7" t="s">
        <v>78</v>
      </c>
      <c r="C63" s="7"/>
      <c r="D63" s="45" t="s">
        <v>8</v>
      </c>
      <c r="E63" s="48" t="s">
        <v>113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80</v>
      </c>
      <c r="B71" s="50" t="s">
        <v>81</v>
      </c>
      <c r="C71" s="50"/>
      <c r="D71" s="51"/>
      <c r="E71" s="52" t="s">
        <v>82</v>
      </c>
      <c r="F71" s="53" t="s">
        <v>83</v>
      </c>
      <c r="G71" s="54" t="s">
        <v>84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0.76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0.99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0.99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0.93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77</v>
      </c>
      <c r="B77" s="67" t="s">
        <v>85</v>
      </c>
      <c r="C77" s="67"/>
      <c r="D77" s="68"/>
      <c r="E77" s="69"/>
      <c r="F77" s="70" t="s">
        <v>86</v>
      </c>
      <c r="G77" s="71" t="s">
        <v>87</v>
      </c>
      <c r="H77" s="72" t="s">
        <v>84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88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114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115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116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117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/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77</v>
      </c>
      <c r="B84" s="7" t="s">
        <v>93</v>
      </c>
      <c r="C84" s="7"/>
      <c r="D84" s="87" t="s">
        <v>94</v>
      </c>
      <c r="E84" s="88" t="s">
        <v>118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77</v>
      </c>
      <c r="B102" s="7" t="s">
        <v>96</v>
      </c>
      <c r="C102" s="7"/>
      <c r="D102" s="45" t="s">
        <v>8</v>
      </c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77</v>
      </c>
      <c r="B105" s="7" t="s">
        <v>97</v>
      </c>
      <c r="C105" s="7"/>
      <c r="D105" s="90" t="s">
        <v>94</v>
      </c>
      <c r="E105" s="91" t="s">
        <v>98</v>
      </c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ht="22.7" customHeight="1" spans="1:16" x14ac:dyDescent="0.25">
      <c r="A106" s="8"/>
      <c r="B106" s="7"/>
      <c r="C106" s="7"/>
      <c r="D106" s="47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ht="22.7" customHeight="1" spans="1:16" x14ac:dyDescent="0.25">
      <c r="A107" s="8"/>
      <c r="B107" s="7"/>
      <c r="C107" s="7"/>
      <c r="D107" s="47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ht="22.7" customHeight="1" spans="1:16" x14ac:dyDescent="0.25">
      <c r="A108" s="8" t="s">
        <v>77</v>
      </c>
      <c r="B108" s="7" t="s">
        <v>99</v>
      </c>
      <c r="C108" s="7"/>
      <c r="D108" s="45" t="s">
        <v>8</v>
      </c>
      <c r="E108" s="46" t="s">
        <v>119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101</v>
      </c>
      <c r="B113" s="7" t="s">
        <v>102</v>
      </c>
      <c r="C113" s="7"/>
      <c r="D113" s="45" t="s">
        <v>8</v>
      </c>
      <c r="E113" s="46" t="s">
        <v>120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104</v>
      </c>
      <c r="B121" s="7" t="s">
        <v>105</v>
      </c>
      <c r="C121" s="7"/>
      <c r="D121" s="45" t="s">
        <v>8</v>
      </c>
      <c r="E121" s="46" t="s">
        <v>106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107</v>
      </c>
      <c r="B125" s="7" t="s">
        <v>108</v>
      </c>
      <c r="C125" s="7"/>
      <c r="D125" s="47"/>
      <c r="E125" s="46" t="s">
        <v>121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6" priority="11">
      <formula>NOT(ISERROR(SEARCH("r",D8)))</formula>
    </cfRule>
    <cfRule type="containsText" dxfId="7" priority="12">
      <formula>NOT(ISERROR(SEARCH("y",D8)))</formula>
    </cfRule>
    <cfRule type="containsText" dxfId="8" priority="13">
      <formula>NOT(ISERROR(SEARCH("g",D8)))</formula>
    </cfRule>
  </conditionalFormatting>
  <conditionalFormatting sqref="D59:D78">
    <cfRule type="containsText" dxfId="9" priority="1">
      <formula>NOT(ISERROR(SEARCH("r",D59)))</formula>
    </cfRule>
    <cfRule type="containsText" dxfId="10" priority="2">
      <formula>NOT(ISERROR(SEARCH("y",D59)))</formula>
    </cfRule>
    <cfRule type="containsText" dxfId="11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122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12</v>
      </c>
      <c r="B29" s="7" t="s">
        <v>13</v>
      </c>
      <c r="C29" s="7"/>
      <c r="D29" s="9" t="s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12</v>
      </c>
      <c r="B32" s="7" t="s">
        <v>14</v>
      </c>
      <c r="C32" s="7"/>
      <c r="D32" s="9" t="s">
        <v>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12</v>
      </c>
      <c r="B35" s="7" t="s">
        <v>15</v>
      </c>
      <c r="C35" s="7"/>
      <c r="D35" s="18"/>
      <c r="E35" s="19" t="s">
        <v>16</v>
      </c>
      <c r="F35" s="19" t="s">
        <v>17</v>
      </c>
      <c r="G35" s="20" t="s">
        <v>18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19</v>
      </c>
      <c r="F37" s="24" t="s">
        <v>20</v>
      </c>
      <c r="G37" s="25">
        <v>2</v>
      </c>
      <c r="H37" s="26" t="s">
        <v>21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22</v>
      </c>
      <c r="F38" s="29" t="s">
        <v>23</v>
      </c>
      <c r="G38" s="25">
        <v>2</v>
      </c>
      <c r="H38" s="26" t="s">
        <v>24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25</v>
      </c>
      <c r="G39" s="25">
        <v>4</v>
      </c>
      <c r="H39" s="26" t="s">
        <v>26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27</v>
      </c>
      <c r="F40" s="31" t="s">
        <v>28</v>
      </c>
      <c r="G40" s="25">
        <v>4</v>
      </c>
      <c r="H40" s="32" t="s">
        <v>123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3</v>
      </c>
      <c r="H41" s="26" t="s">
        <v>31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124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4</v>
      </c>
      <c r="H43" s="26" t="s">
        <v>36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39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40</v>
      </c>
      <c r="G45" s="24">
        <v>2</v>
      </c>
      <c r="H45" s="26" t="s">
        <v>41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27" t="s">
        <v>8</v>
      </c>
      <c r="E46" s="23"/>
      <c r="F46" s="24" t="s">
        <v>42</v>
      </c>
      <c r="G46" s="24">
        <v>2</v>
      </c>
      <c r="H46" s="26" t="s">
        <v>125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 t="s">
        <v>37</v>
      </c>
      <c r="F47" s="24" t="s">
        <v>44</v>
      </c>
      <c r="G47" s="24">
        <v>2</v>
      </c>
      <c r="H47" s="26" t="s">
        <v>45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46</v>
      </c>
      <c r="F48" s="24" t="s">
        <v>47</v>
      </c>
      <c r="G48" s="24">
        <v>1</v>
      </c>
      <c r="H48" s="26" t="s">
        <v>48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49</v>
      </c>
      <c r="F49" s="37" t="s">
        <v>42</v>
      </c>
      <c r="G49" s="24">
        <v>1</v>
      </c>
      <c r="H49" s="26" t="s">
        <v>50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51</v>
      </c>
      <c r="F50" s="24" t="s">
        <v>52</v>
      </c>
      <c r="G50" s="24">
        <v>1</v>
      </c>
      <c r="H50" s="26" t="s">
        <v>53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42</v>
      </c>
      <c r="G51" s="24">
        <v>1</v>
      </c>
      <c r="H51" s="26" t="s">
        <v>55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 t="s">
        <v>56</v>
      </c>
      <c r="F52" s="24" t="s">
        <v>57</v>
      </c>
      <c r="G52" s="24">
        <v>1</v>
      </c>
      <c r="H52" s="38" t="s">
        <v>58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59</v>
      </c>
      <c r="F53" s="24" t="s">
        <v>60</v>
      </c>
      <c r="G53" s="24">
        <v>2</v>
      </c>
      <c r="H53" s="26" t="s">
        <v>126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62</v>
      </c>
      <c r="F54" s="24" t="s">
        <v>63</v>
      </c>
      <c r="G54" s="24">
        <v>3</v>
      </c>
      <c r="H54" s="40" t="s">
        <v>64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65</v>
      </c>
      <c r="F55" s="24" t="s">
        <v>66</v>
      </c>
      <c r="G55" s="24">
        <v>2</v>
      </c>
      <c r="H55" s="40" t="s">
        <v>67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27" t="s">
        <v>8</v>
      </c>
      <c r="E56" s="39" t="s">
        <v>68</v>
      </c>
      <c r="F56" s="24" t="s">
        <v>69</v>
      </c>
      <c r="G56" s="24">
        <v>2</v>
      </c>
      <c r="H56" s="26" t="s">
        <v>112</v>
      </c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71</v>
      </c>
      <c r="B57" s="13" t="s">
        <v>72</v>
      </c>
      <c r="C57" s="13"/>
      <c r="D57" s="42" t="s">
        <v>8</v>
      </c>
      <c r="E57" s="43" t="s">
        <v>73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74</v>
      </c>
      <c r="B60" s="7" t="s">
        <v>75</v>
      </c>
      <c r="C60" s="7"/>
      <c r="D60" s="45" t="s">
        <v>8</v>
      </c>
      <c r="E60" s="46" t="s">
        <v>76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77</v>
      </c>
      <c r="B63" s="7" t="s">
        <v>78</v>
      </c>
      <c r="C63" s="7"/>
      <c r="D63" s="45" t="s">
        <v>8</v>
      </c>
      <c r="E63" s="48" t="s">
        <v>127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80</v>
      </c>
      <c r="B71" s="50" t="s">
        <v>81</v>
      </c>
      <c r="C71" s="50"/>
      <c r="D71" s="51"/>
      <c r="E71" s="52" t="s">
        <v>82</v>
      </c>
      <c r="F71" s="53" t="s">
        <v>83</v>
      </c>
      <c r="G71" s="54" t="s">
        <v>84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0.99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0.99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0.99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0.99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77</v>
      </c>
      <c r="B77" s="67" t="s">
        <v>85</v>
      </c>
      <c r="C77" s="67"/>
      <c r="D77" s="68"/>
      <c r="E77" s="69"/>
      <c r="F77" s="70" t="s">
        <v>86</v>
      </c>
      <c r="G77" s="71" t="s">
        <v>87</v>
      </c>
      <c r="H77" s="72" t="s">
        <v>84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88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128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129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130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131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/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77</v>
      </c>
      <c r="B84" s="7" t="s">
        <v>93</v>
      </c>
      <c r="C84" s="7"/>
      <c r="D84" s="92" t="s">
        <v>8</v>
      </c>
      <c r="E84" s="88" t="s">
        <v>132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77</v>
      </c>
      <c r="B102" s="7" t="s">
        <v>96</v>
      </c>
      <c r="C102" s="7"/>
      <c r="D102" s="45" t="s">
        <v>8</v>
      </c>
      <c r="E102" s="46" t="s">
        <v>133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77</v>
      </c>
      <c r="B105" s="7" t="s">
        <v>97</v>
      </c>
      <c r="C105" s="7"/>
      <c r="D105" s="90" t="s">
        <v>94</v>
      </c>
      <c r="E105" s="91" t="s">
        <v>98</v>
      </c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ht="22.7" customHeight="1" spans="1:16" x14ac:dyDescent="0.25">
      <c r="A106" s="8"/>
      <c r="B106" s="7"/>
      <c r="C106" s="7"/>
      <c r="D106" s="47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ht="22.7" customHeight="1" spans="1:16" x14ac:dyDescent="0.25">
      <c r="A107" s="8"/>
      <c r="B107" s="7"/>
      <c r="C107" s="7"/>
      <c r="D107" s="47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ht="22.7" customHeight="1" spans="1:16" x14ac:dyDescent="0.25">
      <c r="A108" s="8" t="s">
        <v>77</v>
      </c>
      <c r="B108" s="7" t="s">
        <v>99</v>
      </c>
      <c r="C108" s="7"/>
      <c r="D108" s="45" t="s">
        <v>8</v>
      </c>
      <c r="E108" s="46" t="s">
        <v>134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101</v>
      </c>
      <c r="B113" s="7" t="s">
        <v>102</v>
      </c>
      <c r="C113" s="7"/>
      <c r="D113" s="45" t="s">
        <v>8</v>
      </c>
      <c r="E113" s="46" t="s">
        <v>135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104</v>
      </c>
      <c r="B121" s="7" t="s">
        <v>105</v>
      </c>
      <c r="C121" s="7"/>
      <c r="D121" s="45" t="s">
        <v>8</v>
      </c>
      <c r="E121" s="46" t="s">
        <v>136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107</v>
      </c>
      <c r="B125" s="7" t="s">
        <v>108</v>
      </c>
      <c r="C125" s="7"/>
      <c r="D125" s="47"/>
      <c r="E125" s="46" t="s">
        <v>137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2" priority="11">
      <formula>NOT(ISERROR(SEARCH("r",D8)))</formula>
    </cfRule>
    <cfRule type="containsText" dxfId="13" priority="12">
      <formula>NOT(ISERROR(SEARCH("y",D8)))</formula>
    </cfRule>
    <cfRule type="containsText" dxfId="14" priority="13">
      <formula>NOT(ISERROR(SEARCH("g",D8)))</formula>
    </cfRule>
  </conditionalFormatting>
  <conditionalFormatting sqref="D59:D78">
    <cfRule type="containsText" dxfId="15" priority="1">
      <formula>NOT(ISERROR(SEARCH("r",D59)))</formula>
    </cfRule>
    <cfRule type="containsText" dxfId="16" priority="2">
      <formula>NOT(ISERROR(SEARCH("y",D59)))</formula>
    </cfRule>
    <cfRule type="containsText" dxfId="17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138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139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12</v>
      </c>
      <c r="B29" s="7" t="s">
        <v>13</v>
      </c>
      <c r="C29" s="7"/>
      <c r="D29" s="9" t="s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12</v>
      </c>
      <c r="B32" s="7" t="s">
        <v>14</v>
      </c>
      <c r="C32" s="7"/>
      <c r="D32" s="9" t="s">
        <v>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12</v>
      </c>
      <c r="B35" s="7" t="s">
        <v>15</v>
      </c>
      <c r="C35" s="7"/>
      <c r="D35" s="18"/>
      <c r="E35" s="19" t="s">
        <v>16</v>
      </c>
      <c r="F35" s="19" t="s">
        <v>17</v>
      </c>
      <c r="G35" s="20" t="s">
        <v>18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19</v>
      </c>
      <c r="F37" s="24" t="s">
        <v>20</v>
      </c>
      <c r="G37" s="25">
        <v>2</v>
      </c>
      <c r="H37" s="26" t="s">
        <v>21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22</v>
      </c>
      <c r="F38" s="29" t="s">
        <v>23</v>
      </c>
      <c r="G38" s="25">
        <v>2</v>
      </c>
      <c r="H38" s="26" t="s">
        <v>24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25</v>
      </c>
      <c r="G39" s="25">
        <v>4</v>
      </c>
      <c r="H39" s="26" t="s">
        <v>26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27</v>
      </c>
      <c r="F40" s="31" t="s">
        <v>28</v>
      </c>
      <c r="G40" s="25">
        <v>4</v>
      </c>
      <c r="H40" s="32" t="s">
        <v>123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3</v>
      </c>
      <c r="H41" s="26" t="s">
        <v>31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124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4</v>
      </c>
      <c r="H43" s="26" t="s">
        <v>36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39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40</v>
      </c>
      <c r="G45" s="24">
        <v>2</v>
      </c>
      <c r="H45" s="26" t="s">
        <v>41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27" t="s">
        <v>8</v>
      </c>
      <c r="E46" s="23"/>
      <c r="F46" s="24" t="s">
        <v>42</v>
      </c>
      <c r="G46" s="24">
        <v>2</v>
      </c>
      <c r="H46" s="26" t="s">
        <v>140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 t="s">
        <v>37</v>
      </c>
      <c r="F47" s="24" t="s">
        <v>44</v>
      </c>
      <c r="G47" s="24">
        <v>2</v>
      </c>
      <c r="H47" s="26" t="s">
        <v>45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46</v>
      </c>
      <c r="F48" s="24" t="s">
        <v>47</v>
      </c>
      <c r="G48" s="24">
        <v>1</v>
      </c>
      <c r="H48" s="26" t="s">
        <v>48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49</v>
      </c>
      <c r="F49" s="37" t="s">
        <v>42</v>
      </c>
      <c r="G49" s="24">
        <v>1</v>
      </c>
      <c r="H49" s="26" t="s">
        <v>50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51</v>
      </c>
      <c r="F50" s="24" t="s">
        <v>52</v>
      </c>
      <c r="G50" s="24">
        <v>1</v>
      </c>
      <c r="H50" s="26" t="s">
        <v>53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42</v>
      </c>
      <c r="G51" s="24">
        <v>1</v>
      </c>
      <c r="H51" s="26" t="s">
        <v>55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 t="s">
        <v>56</v>
      </c>
      <c r="F52" s="24" t="s">
        <v>57</v>
      </c>
      <c r="G52" s="24">
        <v>1</v>
      </c>
      <c r="H52" s="38" t="s">
        <v>141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59</v>
      </c>
      <c r="F53" s="24" t="s">
        <v>60</v>
      </c>
      <c r="G53" s="24">
        <v>2</v>
      </c>
      <c r="H53" s="26" t="s">
        <v>126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62</v>
      </c>
      <c r="F54" s="24" t="s">
        <v>63</v>
      </c>
      <c r="G54" s="24">
        <v>3</v>
      </c>
      <c r="H54" s="40" t="s">
        <v>64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65</v>
      </c>
      <c r="F55" s="24" t="s">
        <v>66</v>
      </c>
      <c r="G55" s="24">
        <v>2</v>
      </c>
      <c r="H55" s="40" t="s">
        <v>67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27" t="s">
        <v>8</v>
      </c>
      <c r="E56" s="39" t="s">
        <v>68</v>
      </c>
      <c r="F56" s="24" t="s">
        <v>69</v>
      </c>
      <c r="G56" s="24">
        <v>2</v>
      </c>
      <c r="H56" s="26" t="s">
        <v>112</v>
      </c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71</v>
      </c>
      <c r="B57" s="13" t="s">
        <v>72</v>
      </c>
      <c r="C57" s="13"/>
      <c r="D57" s="42" t="s">
        <v>8</v>
      </c>
      <c r="E57" s="43" t="s">
        <v>73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74</v>
      </c>
      <c r="B60" s="7" t="s">
        <v>75</v>
      </c>
      <c r="C60" s="7"/>
      <c r="D60" s="45" t="s">
        <v>8</v>
      </c>
      <c r="E60" s="46" t="s">
        <v>142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77</v>
      </c>
      <c r="B63" s="7" t="s">
        <v>78</v>
      </c>
      <c r="C63" s="7"/>
      <c r="D63" s="45" t="s">
        <v>8</v>
      </c>
      <c r="E63" s="48" t="s">
        <v>143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80</v>
      </c>
      <c r="B71" s="50" t="s">
        <v>81</v>
      </c>
      <c r="C71" s="50"/>
      <c r="D71" s="51"/>
      <c r="E71" s="52" t="s">
        <v>82</v>
      </c>
      <c r="F71" s="53" t="s">
        <v>83</v>
      </c>
      <c r="G71" s="54" t="s">
        <v>84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0.72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0.99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0.99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0.82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77</v>
      </c>
      <c r="B77" s="67" t="s">
        <v>85</v>
      </c>
      <c r="C77" s="67"/>
      <c r="D77" s="68"/>
      <c r="E77" s="69"/>
      <c r="F77" s="70" t="s">
        <v>86</v>
      </c>
      <c r="G77" s="71" t="s">
        <v>87</v>
      </c>
      <c r="H77" s="72" t="s">
        <v>84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88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144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145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146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147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/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77</v>
      </c>
      <c r="B84" s="7" t="s">
        <v>93</v>
      </c>
      <c r="C84" s="7"/>
      <c r="D84" s="87" t="s">
        <v>94</v>
      </c>
      <c r="E84" s="88" t="s">
        <v>148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77</v>
      </c>
      <c r="B102" s="7" t="s">
        <v>96</v>
      </c>
      <c r="C102" s="7"/>
      <c r="D102" s="45" t="s">
        <v>8</v>
      </c>
      <c r="E102" s="46" t="s">
        <v>133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77</v>
      </c>
      <c r="B105" s="7" t="s">
        <v>97</v>
      </c>
      <c r="C105" s="7"/>
      <c r="D105" s="90" t="s">
        <v>94</v>
      </c>
      <c r="E105" s="91" t="s">
        <v>98</v>
      </c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ht="22.7" customHeight="1" spans="1:16" x14ac:dyDescent="0.25">
      <c r="A106" s="8"/>
      <c r="B106" s="7"/>
      <c r="C106" s="7"/>
      <c r="D106" s="47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ht="22.7" customHeight="1" spans="1:16" x14ac:dyDescent="0.25">
      <c r="A107" s="8"/>
      <c r="B107" s="7"/>
      <c r="C107" s="7"/>
      <c r="D107" s="47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ht="22.7" customHeight="1" spans="1:16" x14ac:dyDescent="0.25">
      <c r="A108" s="8" t="s">
        <v>77</v>
      </c>
      <c r="B108" s="7" t="s">
        <v>99</v>
      </c>
      <c r="C108" s="7"/>
      <c r="D108" s="45" t="s">
        <v>8</v>
      </c>
      <c r="E108" s="46" t="s">
        <v>149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101</v>
      </c>
      <c r="B113" s="7" t="s">
        <v>102</v>
      </c>
      <c r="C113" s="7"/>
      <c r="D113" s="45" t="s">
        <v>8</v>
      </c>
      <c r="E113" s="46" t="s">
        <v>150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104</v>
      </c>
      <c r="B121" s="7" t="s">
        <v>105</v>
      </c>
      <c r="C121" s="7"/>
      <c r="D121" s="45" t="s">
        <v>8</v>
      </c>
      <c r="E121" s="46" t="s">
        <v>151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107</v>
      </c>
      <c r="B125" s="7" t="s">
        <v>108</v>
      </c>
      <c r="C125" s="7"/>
      <c r="D125" s="47"/>
      <c r="E125" s="46" t="s">
        <v>152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8" priority="11">
      <formula>NOT(ISERROR(SEARCH("r",D8)))</formula>
    </cfRule>
    <cfRule type="containsText" dxfId="19" priority="12">
      <formula>NOT(ISERROR(SEARCH("y",D8)))</formula>
    </cfRule>
    <cfRule type="containsText" dxfId="20" priority="13">
      <formula>NOT(ISERROR(SEARCH("g",D8)))</formula>
    </cfRule>
  </conditionalFormatting>
  <conditionalFormatting sqref="D59:D78">
    <cfRule type="containsText" dxfId="21" priority="1">
      <formula>NOT(ISERROR(SEARCH("r",D59)))</formula>
    </cfRule>
    <cfRule type="containsText" dxfId="22" priority="2">
      <formula>NOT(ISERROR(SEARCH("y",D59)))</formula>
    </cfRule>
    <cfRule type="containsText" dxfId="23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139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12</v>
      </c>
      <c r="B29" s="7" t="s">
        <v>13</v>
      </c>
      <c r="C29" s="7"/>
      <c r="D29" s="9" t="s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12</v>
      </c>
      <c r="B32" s="7" t="s">
        <v>14</v>
      </c>
      <c r="C32" s="7"/>
      <c r="D32" s="9" t="s">
        <v>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12</v>
      </c>
      <c r="B35" s="7" t="s">
        <v>15</v>
      </c>
      <c r="C35" s="7"/>
      <c r="D35" s="18"/>
      <c r="E35" s="19" t="s">
        <v>16</v>
      </c>
      <c r="F35" s="19" t="s">
        <v>17</v>
      </c>
      <c r="G35" s="20" t="s">
        <v>18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19</v>
      </c>
      <c r="F37" s="24" t="s">
        <v>20</v>
      </c>
      <c r="G37" s="25">
        <v>2</v>
      </c>
      <c r="H37" s="26" t="s">
        <v>21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22</v>
      </c>
      <c r="F38" s="29" t="s">
        <v>23</v>
      </c>
      <c r="G38" s="25">
        <v>2</v>
      </c>
      <c r="H38" s="26" t="s">
        <v>24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25</v>
      </c>
      <c r="G39" s="25">
        <v>4</v>
      </c>
      <c r="H39" s="26" t="s">
        <v>26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27</v>
      </c>
      <c r="F40" s="31" t="s">
        <v>28</v>
      </c>
      <c r="G40" s="25">
        <v>4</v>
      </c>
      <c r="H40" s="32" t="s">
        <v>123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3</v>
      </c>
      <c r="H41" s="26" t="s">
        <v>31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124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4</v>
      </c>
      <c r="H43" s="26" t="s">
        <v>36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39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40</v>
      </c>
      <c r="G45" s="24">
        <v>2</v>
      </c>
      <c r="H45" s="26" t="s">
        <v>41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27" t="s">
        <v>8</v>
      </c>
      <c r="E46" s="23"/>
      <c r="F46" s="24" t="s">
        <v>42</v>
      </c>
      <c r="G46" s="24">
        <v>2</v>
      </c>
      <c r="H46" s="26" t="s">
        <v>140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35"/>
      <c r="E47" s="36" t="s">
        <v>37</v>
      </c>
      <c r="F47" s="24" t="s">
        <v>44</v>
      </c>
      <c r="G47" s="24">
        <v>2</v>
      </c>
      <c r="H47" s="26" t="s">
        <v>45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46</v>
      </c>
      <c r="F48" s="24" t="s">
        <v>47</v>
      </c>
      <c r="G48" s="24">
        <v>1</v>
      </c>
      <c r="H48" s="26" t="s">
        <v>48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49</v>
      </c>
      <c r="F49" s="37" t="s">
        <v>42</v>
      </c>
      <c r="G49" s="24">
        <v>1</v>
      </c>
      <c r="H49" s="26" t="s">
        <v>50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51</v>
      </c>
      <c r="F50" s="24" t="s">
        <v>52</v>
      </c>
      <c r="G50" s="24">
        <v>1</v>
      </c>
      <c r="H50" s="26" t="s">
        <v>154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42</v>
      </c>
      <c r="G51" s="24">
        <v>1</v>
      </c>
      <c r="H51" s="26" t="s">
        <v>55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35"/>
      <c r="E52" s="23" t="s">
        <v>56</v>
      </c>
      <c r="F52" s="24" t="s">
        <v>57</v>
      </c>
      <c r="G52" s="24">
        <v>1</v>
      </c>
      <c r="H52" s="38" t="s">
        <v>141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59</v>
      </c>
      <c r="F53" s="24" t="s">
        <v>60</v>
      </c>
      <c r="G53" s="24">
        <v>2</v>
      </c>
      <c r="H53" s="26" t="s">
        <v>126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62</v>
      </c>
      <c r="F54" s="24" t="s">
        <v>63</v>
      </c>
      <c r="G54" s="24">
        <v>3</v>
      </c>
      <c r="H54" s="40" t="s">
        <v>64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65</v>
      </c>
      <c r="F55" s="24" t="s">
        <v>66</v>
      </c>
      <c r="G55" s="24">
        <v>2</v>
      </c>
      <c r="H55" s="40" t="s">
        <v>67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27" t="s">
        <v>8</v>
      </c>
      <c r="E56" s="39" t="s">
        <v>68</v>
      </c>
      <c r="F56" s="24" t="s">
        <v>69</v>
      </c>
      <c r="G56" s="24">
        <v>2</v>
      </c>
      <c r="H56" s="26" t="s">
        <v>112</v>
      </c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71</v>
      </c>
      <c r="B57" s="13" t="s">
        <v>72</v>
      </c>
      <c r="C57" s="13"/>
      <c r="D57" s="42" t="s">
        <v>8</v>
      </c>
      <c r="E57" s="43" t="s">
        <v>73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35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4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74</v>
      </c>
      <c r="B60" s="7" t="s">
        <v>75</v>
      </c>
      <c r="C60" s="7"/>
      <c r="D60" s="45" t="s">
        <v>8</v>
      </c>
      <c r="E60" s="46" t="s">
        <v>142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</row>
    <row r="61" ht="22.7" customHeight="1" spans="1:16" x14ac:dyDescent="0.25">
      <c r="A61" s="8"/>
      <c r="B61" s="7"/>
      <c r="C61" s="7"/>
      <c r="D61" s="47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</row>
    <row r="62" ht="22.7" customHeight="1" spans="1:16" x14ac:dyDescent="0.25">
      <c r="A62" s="8"/>
      <c r="B62" s="7"/>
      <c r="C62" s="7"/>
      <c r="D62" s="47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</row>
    <row r="63" ht="22.7" customHeight="1" spans="1:16" x14ac:dyDescent="0.25">
      <c r="A63" s="8" t="s">
        <v>77</v>
      </c>
      <c r="B63" s="7" t="s">
        <v>78</v>
      </c>
      <c r="C63" s="7"/>
      <c r="D63" s="45" t="s">
        <v>8</v>
      </c>
      <c r="E63" s="48" t="s">
        <v>155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</row>
    <row r="64" ht="22.7" customHeight="1" spans="1:16" x14ac:dyDescent="0.25">
      <c r="A64" s="8"/>
      <c r="B64" s="7"/>
      <c r="C64" s="7"/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ht="22.7" customHeight="1" spans="1:16" x14ac:dyDescent="0.25">
      <c r="A65" s="8"/>
      <c r="B65" s="7"/>
      <c r="C65" s="7"/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ht="22.7" customHeight="1" spans="1:16" x14ac:dyDescent="0.25">
      <c r="A66" s="8"/>
      <c r="B66" s="7"/>
      <c r="C66" s="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</row>
    <row r="67" ht="22.7" customHeight="1" spans="1:16" x14ac:dyDescent="0.25">
      <c r="A67" s="8"/>
      <c r="B67" s="7"/>
      <c r="C67" s="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</row>
    <row r="68" ht="22.7" customHeight="1" spans="1:16" x14ac:dyDescent="0.25">
      <c r="A68" s="8"/>
      <c r="B68" s="7"/>
      <c r="C68" s="7"/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ht="22.7" customHeight="1" spans="1:16" x14ac:dyDescent="0.25">
      <c r="A69" s="8"/>
      <c r="B69" s="7"/>
      <c r="C69" s="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</row>
    <row r="70" ht="11.1" customHeight="1" spans="1:16" x14ac:dyDescent="0.25">
      <c r="A70" s="8"/>
      <c r="B70" s="7"/>
      <c r="C70" s="7"/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</row>
    <row r="71" ht="22.7" customHeight="1" spans="1:16" x14ac:dyDescent="0.25">
      <c r="A71" s="49" t="s">
        <v>80</v>
      </c>
      <c r="B71" s="50" t="s">
        <v>81</v>
      </c>
      <c r="C71" s="50"/>
      <c r="D71" s="51"/>
      <c r="E71" s="52" t="s">
        <v>82</v>
      </c>
      <c r="F71" s="53" t="s">
        <v>83</v>
      </c>
      <c r="G71" s="54" t="s">
        <v>84</v>
      </c>
      <c r="H71" s="54"/>
      <c r="I71" s="54"/>
      <c r="J71" s="54"/>
      <c r="K71" s="54"/>
      <c r="L71" s="54"/>
      <c r="M71" s="54"/>
      <c r="N71" s="54"/>
      <c r="O71" s="54"/>
      <c r="P71" s="54"/>
    </row>
    <row r="72" ht="22.7" customHeight="1" spans="1:16" x14ac:dyDescent="0.25">
      <c r="A72" s="49"/>
      <c r="B72" s="50"/>
      <c r="C72" s="50"/>
      <c r="D72" s="55"/>
      <c r="E72" s="56"/>
      <c r="F72" s="57">
        <v>0.78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ht="27.95" customHeight="1" spans="1:16" x14ac:dyDescent="0.25">
      <c r="A73" s="49"/>
      <c r="B73" s="50"/>
      <c r="C73" s="50"/>
      <c r="D73" s="59"/>
      <c r="E73" s="60"/>
      <c r="F73" s="57">
        <v>0.96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</row>
    <row r="74" ht="27.6" customHeight="1" spans="1:16" x14ac:dyDescent="0.25">
      <c r="A74" s="49"/>
      <c r="B74" s="50"/>
      <c r="C74" s="50"/>
      <c r="D74" s="62"/>
      <c r="E74" s="60"/>
      <c r="F74" s="57">
        <v>0.99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</row>
    <row r="75" ht="27.6" customHeight="1" spans="1:16" x14ac:dyDescent="0.25">
      <c r="A75" s="49"/>
      <c r="B75" s="50"/>
      <c r="C75" s="50"/>
      <c r="D75" s="55"/>
      <c r="E75" s="64"/>
      <c r="F75" s="57">
        <v>0.85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</row>
    <row r="76" ht="27.6" customHeight="1" spans="1:16" x14ac:dyDescent="0.25">
      <c r="A76" s="49"/>
      <c r="B76" s="50"/>
      <c r="C76" s="50"/>
      <c r="D76" s="59"/>
      <c r="E76" s="65"/>
      <c r="F76" s="57"/>
      <c r="G76" s="61"/>
      <c r="H76" s="61"/>
      <c r="I76" s="61"/>
      <c r="J76" s="61"/>
      <c r="K76" s="61"/>
      <c r="L76" s="61"/>
      <c r="M76" s="61"/>
      <c r="N76" s="61"/>
      <c r="O76" s="61"/>
      <c r="P76" s="61"/>
    </row>
    <row r="77" ht="27.95" customHeight="1" spans="1:16" x14ac:dyDescent="0.25">
      <c r="A77" s="66" t="s">
        <v>77</v>
      </c>
      <c r="B77" s="67" t="s">
        <v>85</v>
      </c>
      <c r="C77" s="67"/>
      <c r="D77" s="68"/>
      <c r="E77" s="69"/>
      <c r="F77" s="70" t="s">
        <v>86</v>
      </c>
      <c r="G77" s="71" t="s">
        <v>87</v>
      </c>
      <c r="H77" s="72" t="s">
        <v>84</v>
      </c>
      <c r="I77" s="72"/>
      <c r="J77" s="72"/>
      <c r="K77" s="72"/>
      <c r="L77" s="72"/>
      <c r="M77" s="72"/>
      <c r="N77" s="72"/>
      <c r="O77" s="72"/>
      <c r="P77" s="72"/>
    </row>
    <row r="78" ht="22.7" customHeight="1" spans="1:16" x14ac:dyDescent="0.25">
      <c r="A78" s="66"/>
      <c r="B78" s="67"/>
      <c r="C78" s="67"/>
      <c r="D78" s="68"/>
      <c r="E78" s="73" t="s">
        <v>88</v>
      </c>
      <c r="F78" s="74">
        <v>15.47</v>
      </c>
      <c r="G78" s="71"/>
      <c r="H78" s="75"/>
      <c r="I78" s="75"/>
      <c r="J78" s="75"/>
      <c r="K78" s="75"/>
      <c r="L78" s="75"/>
      <c r="M78" s="75"/>
      <c r="N78" s="75"/>
      <c r="O78" s="75"/>
      <c r="P78" s="75"/>
    </row>
    <row r="79" ht="22.7" customHeight="1" spans="1:16" x14ac:dyDescent="0.25">
      <c r="A79" s="66"/>
      <c r="B79" s="67"/>
      <c r="C79" s="67"/>
      <c r="D79" s="68"/>
      <c r="E79" s="76"/>
      <c r="F79" s="77"/>
      <c r="G79" s="78"/>
      <c r="H79" s="79" t="s">
        <v>156</v>
      </c>
      <c r="I79" s="79"/>
      <c r="J79" s="79"/>
      <c r="K79" s="79"/>
      <c r="L79" s="79"/>
      <c r="M79" s="79"/>
      <c r="N79" s="79"/>
      <c r="O79" s="79"/>
      <c r="P79" s="79"/>
    </row>
    <row r="80" ht="22.7" customHeight="1" spans="1:16" x14ac:dyDescent="0.25">
      <c r="A80" s="66"/>
      <c r="B80" s="67"/>
      <c r="C80" s="67"/>
      <c r="D80" s="68"/>
      <c r="E80" s="80"/>
      <c r="F80" s="60"/>
      <c r="G80" s="78"/>
      <c r="H80" s="81" t="s">
        <v>157</v>
      </c>
      <c r="I80" s="81"/>
      <c r="J80" s="81"/>
      <c r="K80" s="81"/>
      <c r="L80" s="81"/>
      <c r="M80" s="81"/>
      <c r="N80" s="81"/>
      <c r="O80" s="81"/>
      <c r="P80" s="81"/>
    </row>
    <row r="81" ht="22.7" customHeight="1" spans="1:16" x14ac:dyDescent="0.25">
      <c r="A81" s="66"/>
      <c r="B81" s="67"/>
      <c r="C81" s="67"/>
      <c r="D81" s="68"/>
      <c r="E81" s="82"/>
      <c r="F81" s="77"/>
      <c r="G81" s="78"/>
      <c r="H81" s="81" t="s">
        <v>158</v>
      </c>
      <c r="I81" s="81"/>
      <c r="J81" s="81"/>
      <c r="K81" s="81"/>
      <c r="L81" s="81"/>
      <c r="M81" s="81"/>
      <c r="N81" s="81"/>
      <c r="O81" s="81"/>
      <c r="P81" s="81"/>
    </row>
    <row r="82" ht="22.7" customHeight="1" spans="1:16" x14ac:dyDescent="0.25">
      <c r="A82" s="66"/>
      <c r="B82" s="67"/>
      <c r="C82" s="67"/>
      <c r="D82" s="68"/>
      <c r="E82" s="76"/>
      <c r="F82" s="83"/>
      <c r="G82" s="78"/>
      <c r="H82" s="81" t="s">
        <v>159</v>
      </c>
      <c r="I82" s="81"/>
      <c r="J82" s="81"/>
      <c r="K82" s="81"/>
      <c r="L82" s="81"/>
      <c r="M82" s="81"/>
      <c r="N82" s="81"/>
      <c r="O82" s="81"/>
      <c r="P82" s="81"/>
    </row>
    <row r="83" ht="22.7" customHeight="1" spans="1:16" x14ac:dyDescent="0.25">
      <c r="A83" s="66"/>
      <c r="B83" s="67"/>
      <c r="C83" s="67"/>
      <c r="D83" s="68"/>
      <c r="E83" s="84"/>
      <c r="F83" s="85"/>
      <c r="G83" s="78"/>
      <c r="H83" s="86"/>
      <c r="I83" s="86"/>
      <c r="J83" s="86"/>
      <c r="K83" s="86"/>
      <c r="L83" s="86"/>
      <c r="M83" s="86"/>
      <c r="N83" s="86"/>
      <c r="O83" s="86"/>
      <c r="P83" s="86"/>
    </row>
    <row r="84" ht="22.7" customHeight="1" spans="1:16" x14ac:dyDescent="0.25">
      <c r="A84" s="8" t="s">
        <v>77</v>
      </c>
      <c r="B84" s="7" t="s">
        <v>93</v>
      </c>
      <c r="C84" s="7"/>
      <c r="D84" s="87" t="s">
        <v>94</v>
      </c>
      <c r="E84" s="88" t="s">
        <v>160</v>
      </c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</row>
    <row r="85" ht="22.7" customHeight="1" spans="1:16" x14ac:dyDescent="0.25">
      <c r="A85" s="8"/>
      <c r="B85" s="7"/>
      <c r="C85" s="7"/>
      <c r="D85" s="89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ht="22.7" customHeight="1" spans="1:16" x14ac:dyDescent="0.25">
      <c r="A86" s="8"/>
      <c r="B86" s="7"/>
      <c r="C86" s="7"/>
      <c r="D86" s="89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</row>
    <row r="87" ht="22.7" customHeight="1" spans="1:16" x14ac:dyDescent="0.25">
      <c r="A87" s="8"/>
      <c r="B87" s="7"/>
      <c r="C87" s="7"/>
      <c r="D87" s="89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</row>
    <row r="88" ht="22.7" customHeight="1" spans="1:16" x14ac:dyDescent="0.25">
      <c r="A88" s="8"/>
      <c r="B88" s="7"/>
      <c r="C88" s="7"/>
      <c r="D88" s="89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ht="22.7" customHeight="1" spans="1:16" x14ac:dyDescent="0.25">
      <c r="A89" s="8"/>
      <c r="B89" s="7"/>
      <c r="C89" s="7"/>
      <c r="D89" s="89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ht="22.7" customHeight="1" spans="1:16" x14ac:dyDescent="0.25">
      <c r="A90" s="8"/>
      <c r="B90" s="7"/>
      <c r="C90" s="7"/>
      <c r="D90" s="89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ht="22.7" customHeight="1" spans="1:16" x14ac:dyDescent="0.25">
      <c r="A91" s="8"/>
      <c r="B91" s="7"/>
      <c r="C91" s="7"/>
      <c r="D91" s="89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ht="22.7" customHeight="1" spans="1:16" x14ac:dyDescent="0.25">
      <c r="A92" s="8"/>
      <c r="B92" s="7"/>
      <c r="C92" s="7"/>
      <c r="D92" s="89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ht="22.7" customHeight="1" spans="1:16" x14ac:dyDescent="0.25">
      <c r="A93" s="8"/>
      <c r="B93" s="7"/>
      <c r="C93" s="7"/>
      <c r="D93" s="89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ht="22.7" customHeight="1" spans="1:16" x14ac:dyDescent="0.25">
      <c r="A94" s="8"/>
      <c r="B94" s="7"/>
      <c r="C94" s="7"/>
      <c r="D94" s="89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ht="22.7" customHeight="1" spans="1:16" x14ac:dyDescent="0.25">
      <c r="A95" s="8"/>
      <c r="B95" s="7"/>
      <c r="C95" s="7"/>
      <c r="D95" s="89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</row>
    <row r="96" ht="22.7" customHeight="1" spans="1:16" x14ac:dyDescent="0.25">
      <c r="A96" s="8"/>
      <c r="B96" s="7"/>
      <c r="C96" s="7"/>
      <c r="D96" s="89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</row>
    <row r="97" ht="22.7" customHeight="1" spans="1:16" x14ac:dyDescent="0.25">
      <c r="A97" s="8"/>
      <c r="B97" s="7"/>
      <c r="C97" s="7"/>
      <c r="D97" s="89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ht="22.7" customHeight="1" spans="1:16" x14ac:dyDescent="0.25">
      <c r="A98" s="8"/>
      <c r="B98" s="7"/>
      <c r="C98" s="7"/>
      <c r="D98" s="89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ht="22.7" customHeight="1" spans="1:16" x14ac:dyDescent="0.25">
      <c r="A99" s="8"/>
      <c r="B99" s="7"/>
      <c r="C99" s="7"/>
      <c r="D99" s="89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</row>
    <row r="100" ht="22.7" customHeight="1" spans="1:16" x14ac:dyDescent="0.25">
      <c r="A100" s="8"/>
      <c r="B100" s="7"/>
      <c r="C100" s="7"/>
      <c r="D100" s="89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ht="22.7" customHeight="1" spans="1:16" x14ac:dyDescent="0.25">
      <c r="A101" s="8"/>
      <c r="B101" s="7"/>
      <c r="C101" s="7"/>
      <c r="D101" s="89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ht="22.7" customHeight="1" spans="1:16" x14ac:dyDescent="0.25">
      <c r="A102" s="8" t="s">
        <v>77</v>
      </c>
      <c r="B102" s="7" t="s">
        <v>96</v>
      </c>
      <c r="C102" s="7"/>
      <c r="D102" s="45" t="s">
        <v>8</v>
      </c>
      <c r="E102" s="46" t="s">
        <v>133</v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</row>
    <row r="103" ht="22.7" customHeight="1" spans="1:16" x14ac:dyDescent="0.25">
      <c r="A103" s="8"/>
      <c r="B103" s="7"/>
      <c r="C103" s="7"/>
      <c r="D103" s="47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</row>
    <row r="104" ht="22.7" customHeight="1" spans="1:16" x14ac:dyDescent="0.25">
      <c r="A104" s="8"/>
      <c r="B104" s="7"/>
      <c r="C104" s="7"/>
      <c r="D104" s="47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</row>
    <row r="105" ht="22.7" customHeight="1" spans="1:16" x14ac:dyDescent="0.25">
      <c r="A105" s="8" t="s">
        <v>77</v>
      </c>
      <c r="B105" s="7" t="s">
        <v>97</v>
      </c>
      <c r="C105" s="7"/>
      <c r="D105" s="90" t="s">
        <v>94</v>
      </c>
      <c r="E105" s="91" t="s">
        <v>98</v>
      </c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ht="22.7" customHeight="1" spans="1:16" x14ac:dyDescent="0.25">
      <c r="A106" s="8"/>
      <c r="B106" s="7"/>
      <c r="C106" s="7"/>
      <c r="D106" s="47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ht="22.7" customHeight="1" spans="1:16" x14ac:dyDescent="0.25">
      <c r="A107" s="8"/>
      <c r="B107" s="7"/>
      <c r="C107" s="7"/>
      <c r="D107" s="47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ht="22.7" customHeight="1" spans="1:16" x14ac:dyDescent="0.25">
      <c r="A108" s="8" t="s">
        <v>77</v>
      </c>
      <c r="B108" s="7" t="s">
        <v>99</v>
      </c>
      <c r="C108" s="7"/>
      <c r="D108" s="45" t="s">
        <v>8</v>
      </c>
      <c r="E108" s="46" t="s">
        <v>161</v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</row>
    <row r="109" ht="22.7" customHeight="1" spans="1:16" x14ac:dyDescent="0.25">
      <c r="A109" s="8"/>
      <c r="B109" s="7"/>
      <c r="C109" s="7"/>
      <c r="D109" s="47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ht="22.7" customHeight="1" spans="1:16" x14ac:dyDescent="0.25">
      <c r="A110" s="8"/>
      <c r="B110" s="7"/>
      <c r="C110" s="7"/>
      <c r="D110" s="47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</row>
    <row r="111" ht="22.7" customHeight="1" spans="1:16" x14ac:dyDescent="0.25">
      <c r="A111" s="8"/>
      <c r="B111" s="7"/>
      <c r="C111" s="7"/>
      <c r="D111" s="47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ht="22.7" customHeight="1" spans="1:16" x14ac:dyDescent="0.25">
      <c r="A112" s="8"/>
      <c r="B112" s="7"/>
      <c r="C112" s="7"/>
      <c r="D112" s="47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</row>
    <row r="113" ht="22.7" customHeight="1" spans="1:16" x14ac:dyDescent="0.25">
      <c r="A113" s="2" t="s">
        <v>101</v>
      </c>
      <c r="B113" s="7" t="s">
        <v>102</v>
      </c>
      <c r="C113" s="7"/>
      <c r="D113" s="90" t="s">
        <v>94</v>
      </c>
      <c r="E113" s="46" t="s">
        <v>162</v>
      </c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ht="22.7" customHeight="1" spans="1:16" x14ac:dyDescent="0.25">
      <c r="A114" s="2"/>
      <c r="B114" s="7"/>
      <c r="C114" s="7"/>
      <c r="D114" s="47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</row>
    <row r="115" ht="22.7" customHeight="1" spans="1:16" x14ac:dyDescent="0.25">
      <c r="A115" s="2"/>
      <c r="B115" s="7"/>
      <c r="C115" s="7"/>
      <c r="D115" s="47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ht="22.7" customHeight="1" spans="1:16" x14ac:dyDescent="0.25">
      <c r="A116" s="2"/>
      <c r="B116" s="7"/>
      <c r="C116" s="7"/>
      <c r="D116" s="47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</row>
    <row r="117" ht="22.7" customHeight="1" spans="1:16" x14ac:dyDescent="0.25">
      <c r="A117" s="2"/>
      <c r="B117" s="7"/>
      <c r="C117" s="7"/>
      <c r="D117" s="47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ht="22.7" customHeight="1" spans="1:16" x14ac:dyDescent="0.25">
      <c r="A118" s="2"/>
      <c r="B118" s="7"/>
      <c r="C118" s="7"/>
      <c r="D118" s="47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</row>
    <row r="119" ht="22.7" customHeight="1" spans="1:16" x14ac:dyDescent="0.25">
      <c r="A119" s="2"/>
      <c r="B119" s="7"/>
      <c r="C119" s="7"/>
      <c r="D119" s="47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</row>
    <row r="120" ht="22.7" customHeight="1" spans="1:16" x14ac:dyDescent="0.25">
      <c r="A120" s="2"/>
      <c r="B120" s="7"/>
      <c r="C120" s="7"/>
      <c r="D120" s="47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</row>
    <row r="121" ht="22.7" customHeight="1" spans="1:16" x14ac:dyDescent="0.25">
      <c r="A121" s="2" t="s">
        <v>104</v>
      </c>
      <c r="B121" s="7" t="s">
        <v>105</v>
      </c>
      <c r="C121" s="7"/>
      <c r="D121" s="45" t="s">
        <v>8</v>
      </c>
      <c r="E121" s="46" t="s">
        <v>163</v>
      </c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</row>
    <row r="122" ht="22.7" customHeight="1" spans="1:16" x14ac:dyDescent="0.25">
      <c r="A122" s="2"/>
      <c r="B122" s="7"/>
      <c r="C122" s="7"/>
      <c r="D122" s="47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</row>
    <row r="123" ht="22.7" customHeight="1" spans="1:16" x14ac:dyDescent="0.25">
      <c r="A123" s="2"/>
      <c r="B123" s="7"/>
      <c r="C123" s="7"/>
      <c r="D123" s="47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ht="22.7" customHeight="1" spans="1:16" x14ac:dyDescent="0.25">
      <c r="A124" s="2"/>
      <c r="B124" s="7"/>
      <c r="C124" s="7"/>
      <c r="D124" s="47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</row>
    <row r="125" ht="22.7" customHeight="1" spans="1:16" x14ac:dyDescent="0.25">
      <c r="A125" s="2" t="s">
        <v>107</v>
      </c>
      <c r="B125" s="7" t="s">
        <v>108</v>
      </c>
      <c r="C125" s="7"/>
      <c r="D125" s="47"/>
      <c r="E125" s="46" t="s">
        <v>164</v>
      </c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ht="22.7" customHeight="1" spans="1:16" x14ac:dyDescent="0.25">
      <c r="A126" s="2"/>
      <c r="B126" s="7"/>
      <c r="C126" s="7"/>
      <c r="D126" s="47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</row>
    <row r="127" ht="22.7" customHeight="1" spans="1:16" x14ac:dyDescent="0.25">
      <c r="A127" s="2"/>
      <c r="B127" s="7"/>
      <c r="C127" s="7"/>
      <c r="D127" s="47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ht="22.7" customHeight="1" spans="1:16" x14ac:dyDescent="0.25">
      <c r="A128" s="2"/>
      <c r="B128" s="7"/>
      <c r="C128" s="7"/>
      <c r="D128" s="47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</row>
    <row r="129" ht="22.7" customHeight="1" spans="1:16" x14ac:dyDescent="0.25">
      <c r="A129" s="2"/>
      <c r="B129" s="7"/>
      <c r="C129" s="7"/>
      <c r="D129" s="47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ht="22.7" customHeight="1" spans="1:16" x14ac:dyDescent="0.25">
      <c r="A130" s="2"/>
      <c r="B130" s="7"/>
      <c r="C130" s="7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</row>
    <row r="131" ht="22.7" customHeight="1" spans="1:16" x14ac:dyDescent="0.25">
      <c r="A131" s="2"/>
      <c r="B131" s="7"/>
      <c r="C131" s="7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ht="22.7" customHeight="1" spans="1:16" x14ac:dyDescent="0.25">
      <c r="A132" s="2"/>
      <c r="B132" s="7"/>
      <c r="C132" s="7"/>
      <c r="D132" s="47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</row>
    <row r="133" ht="22.7" customHeight="1" spans="1:16" x14ac:dyDescent="0.25">
      <c r="A133" s="2"/>
      <c r="B133" s="7"/>
      <c r="C133" s="7"/>
      <c r="D133" s="47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ht="22.7" customHeight="1" spans="1:16" x14ac:dyDescent="0.25">
      <c r="A134" s="2"/>
      <c r="B134" s="7"/>
      <c r="C134" s="7"/>
      <c r="D134" s="47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</row>
    <row r="135" ht="22.7" customHeight="1" spans="1:16" x14ac:dyDescent="0.25">
      <c r="A135" s="2"/>
      <c r="B135" s="7"/>
      <c r="C135" s="7"/>
      <c r="D135" s="47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</row>
    <row r="136" ht="22.7" customHeight="1" spans="1:16" x14ac:dyDescent="0.25">
      <c r="A136" s="2"/>
      <c r="B136" s="7"/>
      <c r="C136" s="7"/>
      <c r="D136" s="47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</row>
    <row r="137" ht="22.7" customHeight="1" spans="1:16" x14ac:dyDescent="0.25">
      <c r="A137" s="2"/>
      <c r="B137" s="7"/>
      <c r="C137" s="7"/>
      <c r="D137" s="47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</row>
    <row r="138" ht="22.7" customHeight="1" spans="1:16" x14ac:dyDescent="0.25">
      <c r="A138" s="2"/>
      <c r="B138" s="7"/>
      <c r="C138" s="7"/>
      <c r="D138" s="47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</row>
    <row r="139" ht="22.7" customHeight="1" spans="1:16" x14ac:dyDescent="0.25">
      <c r="A139" s="2"/>
      <c r="B139" s="7"/>
      <c r="C139" s="7"/>
      <c r="D139" s="47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ht="22.7" customHeight="1" spans="1:16" x14ac:dyDescent="0.25">
      <c r="A140" s="2"/>
      <c r="B140" s="7"/>
      <c r="C140" s="7"/>
      <c r="D140" s="47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</row>
    <row r="141" ht="22.7" customHeight="1" spans="1:16" x14ac:dyDescent="0.25">
      <c r="A141" s="2"/>
      <c r="B141" s="7"/>
      <c r="C141" s="7"/>
      <c r="D141" s="47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ht="22.7" customHeight="1" spans="1:16" x14ac:dyDescent="0.25">
      <c r="A142" s="2"/>
      <c r="B142" s="7"/>
      <c r="C142" s="7"/>
      <c r="D142" s="47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24" priority="11">
      <formula>NOT(ISERROR(SEARCH("r",D8)))</formula>
    </cfRule>
    <cfRule type="containsText" dxfId="25" priority="12">
      <formula>NOT(ISERROR(SEARCH("y",D8)))</formula>
    </cfRule>
    <cfRule type="containsText" dxfId="26" priority="13">
      <formula>NOT(ISERROR(SEARCH("g",D8)))</formula>
    </cfRule>
  </conditionalFormatting>
  <conditionalFormatting sqref="D59:D78">
    <cfRule type="containsText" dxfId="27" priority="1">
      <formula>NOT(ISERROR(SEARCH("r",D59)))</formula>
    </cfRule>
    <cfRule type="containsText" dxfId="28" priority="2">
      <formula>NOT(ISERROR(SEARCH("y",D59)))</formula>
    </cfRule>
    <cfRule type="containsText" dxfId="29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 10.19.26</vt:lpstr>
      <vt:lpstr>Tuesday 10.20.26</vt:lpstr>
      <vt:lpstr>Wednesday 10.21.26</vt:lpstr>
      <vt:lpstr>Thursday 10.22.26</vt:lpstr>
      <vt:lpstr>Friday 10.23.26</vt:lpstr>
    </vt:vector>
  </TitlesOfParts>
  <Company>Hewlett-Packard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Hess</dc:creator>
  <dc:title/>
  <dc:subject/>
  <dc:description/>
  <cp:keywords/>
  <cp:category/>
  <cp:lastModifiedBy>Nicole Markovits</cp:lastModifiedBy>
  <cp:contentStatus/>
  <dcterms:created xsi:type="dcterms:W3CDTF">2017-07-14T20:51:25Z</dcterms:created>
  <dcterms:modified xsi:type="dcterms:W3CDTF">2026-03-12T15:42:02Z</dcterms:modified>
</cp:coreProperties>
</file>